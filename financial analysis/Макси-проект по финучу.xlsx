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эрофлот" sheetId="1" r:id="rId4"/>
    <sheet state="visible" name="TurkishAirlines" sheetId="2" r:id="rId5"/>
    <sheet state="visible" name="Ютэер" sheetId="3" r:id="rId6"/>
    <sheet state="visible" name="Метрики" sheetId="4" r:id="rId7"/>
    <sheet state="visible" name="Горизонтальный анализ" sheetId="5" r:id="rId8"/>
    <sheet state="visible" name="Графики" sheetId="6" r:id="rId9"/>
  </sheets>
  <definedNames/>
  <calcPr/>
</workbook>
</file>

<file path=xl/sharedStrings.xml><?xml version="1.0" encoding="utf-8"?>
<sst xmlns="http://schemas.openxmlformats.org/spreadsheetml/2006/main" count="757" uniqueCount="306">
  <si>
    <t>Отчет о финансовом положении</t>
  </si>
  <si>
    <t>Отчет о прибылях и убытках</t>
  </si>
  <si>
    <t>на 31 декабря 202X года в миллионах рублей</t>
  </si>
  <si>
    <t>за 202X год в миллионах рублей, если не указано иное</t>
  </si>
  <si>
    <t>2020 г.</t>
  </si>
  <si>
    <t>2021 г.</t>
  </si>
  <si>
    <t>2023 г.</t>
  </si>
  <si>
    <t>2024 г.</t>
  </si>
  <si>
    <t>АКТИВЫ</t>
  </si>
  <si>
    <t>Выручка от перевозок</t>
  </si>
  <si>
    <t>Оборотные активы</t>
  </si>
  <si>
    <t>Прочая выручка</t>
  </si>
  <si>
    <t>Денежные средства и их эквиваленты</t>
  </si>
  <si>
    <t>Выручка</t>
  </si>
  <si>
    <t>Краткосрочные финансовые инвестиции</t>
  </si>
  <si>
    <t>Дебиторская задолженность и предоплаты</t>
  </si>
  <si>
    <t>Операционные расходы, за исключением расходов на оплату труда и амортизации</t>
  </si>
  <si>
    <t>Предоплата по текущему налогу на прибыль</t>
  </si>
  <si>
    <t>Расходы на оплату труда</t>
  </si>
  <si>
    <t>Страховые депозиты по аренде воздушных судов</t>
  </si>
  <si>
    <t>Амортизация</t>
  </si>
  <si>
    <t>Расходные запчасти и запасы</t>
  </si>
  <si>
    <t>Прочие операционные доходы/(расходы), нетто</t>
  </si>
  <si>
    <t>Краткосрочные финансовые активы по договорам аренды</t>
  </si>
  <si>
    <t>Операционные расходы</t>
  </si>
  <si>
    <t>Итого оборотные активы</t>
  </si>
  <si>
    <t>Прибыль / убыток от операционной деятельности</t>
  </si>
  <si>
    <t>Внеоборотные активы</t>
  </si>
  <si>
    <t>Прибыль / убыток от обесценения и изменения справедливой стоимости инвестиций, нетто</t>
  </si>
  <si>
    <t>Активы в форме права пользования</t>
  </si>
  <si>
    <t>Финансовые доходы</t>
  </si>
  <si>
    <t>Основные средства</t>
  </si>
  <si>
    <t>Финансовые расходы</t>
  </si>
  <si>
    <t>Предоплата за воздушные суда</t>
  </si>
  <si>
    <t>Реализация результата хеджирования</t>
  </si>
  <si>
    <t>-</t>
  </si>
  <si>
    <t>Отложенные налоговые активы</t>
  </si>
  <si>
    <t>Доля в финансовых результатах ассоциированных компаний</t>
  </si>
  <si>
    <t>Долгосрочные финансовые инвестиции</t>
  </si>
  <si>
    <t>Результат от выбытия дочерних компаний</t>
  </si>
  <si>
    <t>Нематериальные активы</t>
  </si>
  <si>
    <t>Убыток до налогообложения</t>
  </si>
  <si>
    <t>Долгосрочные финансовые активы по договорам аренды</t>
  </si>
  <si>
    <t>Налог на прибыль</t>
  </si>
  <si>
    <t>Инвестиции в ассоциированные компании</t>
  </si>
  <si>
    <t>УБЫТОК / ПРИБЫЛЬ ЗА ГОД</t>
  </si>
  <si>
    <t>Прочие внеоборотные активы</t>
  </si>
  <si>
    <t>Приходящийся на:</t>
  </si>
  <si>
    <t>Итого внеоборотные активы</t>
  </si>
  <si>
    <t>Акционеров Компании</t>
  </si>
  <si>
    <t>Держателей неконтролирующих долей участия</t>
  </si>
  <si>
    <t>ИТОГО АКТИВЫ</t>
  </si>
  <si>
    <t>ИСТОЧНИКИ</t>
  </si>
  <si>
    <t>ОБЯЗАТЕЛЬСТВА И КАПИТАЛ</t>
  </si>
  <si>
    <t xml:space="preserve">Отчет о прибылях и убытках и отчет о финансовом положении - </t>
  </si>
  <si>
    <t>https://ir.aeroflot.ru/reporting/financial-results/ifrs/</t>
  </si>
  <si>
    <t>Краткосрочные обязательства</t>
  </si>
  <si>
    <t>Кредиторская задолженность и начисленные обязательства</t>
  </si>
  <si>
    <t>Незаработанная транспортная выручка</t>
  </si>
  <si>
    <t>Отложенная выручка по программе премирования пассажиров</t>
  </si>
  <si>
    <t>Резервы под обязательства</t>
  </si>
  <si>
    <t>Обязательства по аренде</t>
  </si>
  <si>
    <t>Краткосрочные кредиты и займы и краткосрочная часть долгосрочных кредитов и займов</t>
  </si>
  <si>
    <t>Обязательства по текущему налогу на прибыль</t>
  </si>
  <si>
    <t>Итого краткосрочные обязательства</t>
  </si>
  <si>
    <t>Долгосрочные обязательства</t>
  </si>
  <si>
    <t>Долгосрочные кредиты и займы</t>
  </si>
  <si>
    <t>Отложенные налоговые обязательства</t>
  </si>
  <si>
    <t>Прочие долгосрочные обязательства</t>
  </si>
  <si>
    <t>Итого долгосрочные обязательства</t>
  </si>
  <si>
    <t>ИТОГО ОБЯЗАТЕЛЬСТВА</t>
  </si>
  <si>
    <t>Капитал</t>
  </si>
  <si>
    <t>Уставный капитал</t>
  </si>
  <si>
    <t>Добавочный капитал</t>
  </si>
  <si>
    <t>Резерв выкупленных собственных акций</t>
  </si>
  <si>
    <t>Накопленная прибыль от продажи собственных акций</t>
  </si>
  <si>
    <t>Резерв по инструментам хеджирования</t>
  </si>
  <si>
    <t>Накопленный убыток</t>
  </si>
  <si>
    <t>Капитал, приходящийся на акционеров Компании</t>
  </si>
  <si>
    <t>Держатели неконтролирующих долей участия</t>
  </si>
  <si>
    <t>ИТОГО КАПИТАЛ</t>
  </si>
  <si>
    <t>ИТОГО ОБЯЗАТЕЛЬСТВА И КАПИТАЛ</t>
  </si>
  <si>
    <t>Метрики</t>
  </si>
  <si>
    <t>Ликвидность</t>
  </si>
  <si>
    <t>Текущая</t>
  </si>
  <si>
    <t>Быстрая</t>
  </si>
  <si>
    <t>Абсолютная</t>
  </si>
  <si>
    <t>Финансовая устойчивость</t>
  </si>
  <si>
    <t>Коэффициент автономии</t>
  </si>
  <si>
    <t>Коэффициент соотношения заемных и собственных средств</t>
  </si>
  <si>
    <t>Коэффициент финансового левериджа</t>
  </si>
  <si>
    <t>Коэффициенты деловой активности</t>
  </si>
  <si>
    <t>Оборачиваемость активов</t>
  </si>
  <si>
    <t>Оборачиваемость дебиторской задолженности</t>
  </si>
  <si>
    <t>Коэффициенты рентабельности</t>
  </si>
  <si>
    <t>Рентабельность продаж (ROS)</t>
  </si>
  <si>
    <t>Рентабельность активов (ROA)</t>
  </si>
  <si>
    <t>Рентабельность собственного капитала (ROE)</t>
  </si>
  <si>
    <t>Метрики за 2019 год</t>
  </si>
  <si>
    <t>Итоговые активы</t>
  </si>
  <si>
    <t>Кредиторская задоленность</t>
  </si>
  <si>
    <t>Итого капитал</t>
  </si>
  <si>
    <t>ПРИБЫЛЬ ИЛИ УБЫТОК</t>
  </si>
  <si>
    <t>ВНЕОБОРОТНЫЕ АКТИВЫ</t>
  </si>
  <si>
    <t>Финансовые вложения</t>
  </si>
  <si>
    <t>Себестоимость продаж</t>
  </si>
  <si>
    <t>Прочая дебиторская задолженность</t>
  </si>
  <si>
    <t>ВАЛОВАЯ ПРИБЫЛЬ</t>
  </si>
  <si>
    <t xml:space="preserve">     Аффилированные лица</t>
  </si>
  <si>
    <t xml:space="preserve">     Третьи стороны</t>
  </si>
  <si>
    <t>Общие и административные расходы</t>
  </si>
  <si>
    <t>Инвестиции, учитываемые методом долевого участия</t>
  </si>
  <si>
    <t>Коммерческие и маркетинговые расходы</t>
  </si>
  <si>
    <t>Инвестиционная собственность</t>
  </si>
  <si>
    <t>Прочие операционные доходы</t>
  </si>
  <si>
    <t>Прочие операционные расходы</t>
  </si>
  <si>
    <t>ОПЕРАЦИОННАЯ ПРИБЫЛЬ / УБЫТОК ДО УЧЕТА ИНВЕСТИЦИОННОЙ ДЕЯТЕЛЬНОСТИ</t>
  </si>
  <si>
    <t xml:space="preserve">     Прочие нематериальные активы</t>
  </si>
  <si>
    <t>Доходы от инвестиционной деятельности</t>
  </si>
  <si>
    <t xml:space="preserve">     Гудвил</t>
  </si>
  <si>
    <t>Расходы от инвестиционной деятельности</t>
  </si>
  <si>
    <t>Расходы будущих периодов</t>
  </si>
  <si>
    <t>Доля в прибыли / убытке инвестиций, учитываемых методом долевого участия</t>
  </si>
  <si>
    <t>Отложенный налоговый актив</t>
  </si>
  <si>
    <t>ОПЕРАЦИОННАЯ ПРИБЫЛЬ / УБЫТОК</t>
  </si>
  <si>
    <t>ИТОГО ВНЕОБОРОТНЫЕ АКТИВЫ</t>
  </si>
  <si>
    <t>ОБОРОТНЫЕ АКТИВЫ</t>
  </si>
  <si>
    <t>Денежные средства и денежные эквиваленты</t>
  </si>
  <si>
    <t>Денежная прибыль</t>
  </si>
  <si>
    <t>ПРИБЫЛЬ / УБЫТОК ДО НАЛОГООБЛОЖЕНИЯ</t>
  </si>
  <si>
    <t>Дебиторская задолженность</t>
  </si>
  <si>
    <t>Налоговые доходы / расходы</t>
  </si>
  <si>
    <t xml:space="preserve">     Текущий налог на прибыль</t>
  </si>
  <si>
    <t xml:space="preserve">     Отложенный налоговый доход / расход</t>
  </si>
  <si>
    <t xml:space="preserve">          Отложенный налоговый расход</t>
  </si>
  <si>
    <t xml:space="preserve">          Влияние корректировки на инфляцию на отложенный налоговый доход</t>
  </si>
  <si>
    <t>Производные финансовые инструменты</t>
  </si>
  <si>
    <t>ЧИСТАЯ ПРИБЫЛЬ / УБЫТОК ЗА ГОД</t>
  </si>
  <si>
    <t>Запасы</t>
  </si>
  <si>
    <t>Предоплаченные расходы</t>
  </si>
  <si>
    <t>Текущий налог на прибыль</t>
  </si>
  <si>
    <t>ПРОЧИЙ СОВОКУПНЫЙ ДОХОД</t>
  </si>
  <si>
    <t>Прочие оборотные активы</t>
  </si>
  <si>
    <t>ИТОГО ОБОРОТНЫЕ АКТИВЫ</t>
  </si>
  <si>
    <t>Статьи, которые могут быть впоследствии переклассифицированы в прибыль или убыток</t>
  </si>
  <si>
    <t>Курсовые разницы</t>
  </si>
  <si>
    <t>Убытки от переоценки FVOCI</t>
  </si>
  <si>
    <t>Прибыль / убыток от переоценки хеджинговых инструментов, используемых для хеджирования денежных потоков</t>
  </si>
  <si>
    <t>Прибыль / убыток от переоценки хеджинговых инструментов инвестиций, учитываемых методом долевого участия, используемых для хеджирования денежных потоков</t>
  </si>
  <si>
    <t>Налог, относящийся к прочему совокупному доходу</t>
  </si>
  <si>
    <t>Статьи, которые не будут переклассифицированы в прибыль или убыток</t>
  </si>
  <si>
    <t>КАПИТАЛ</t>
  </si>
  <si>
    <t>Актуарные убытки по пенсионным обязательствам</t>
  </si>
  <si>
    <t>ПРОЧИЙ СОВОКУПНЫЙ ДОХОД / РАСХОД ЗА ГОД</t>
  </si>
  <si>
    <t xml:space="preserve">     Казначейские акции</t>
  </si>
  <si>
    <t xml:space="preserve">     Актуарные убытки по обязательствам по выплате пенсий</t>
  </si>
  <si>
    <t>СОВОКУПНЫЙ ДОХОД / РАСХОД ЗА ГОД</t>
  </si>
  <si>
    <t>Статьи, которые могут быть переклассифицированы в прибыль или убыток</t>
  </si>
  <si>
    <t>Базовая прибыль / убыток на акцию (в российских рублях)</t>
  </si>
  <si>
    <t xml:space="preserve">     Курсовые разницы по зарубежным операциям</t>
  </si>
  <si>
    <t>Разводненная прибыль / убыток на акцию (в российских рублях)</t>
  </si>
  <si>
    <t xml:space="preserve">     Прибыль от переоценки хеджинговых инструментов, заключенных для хеджирования денежных потоков</t>
  </si>
  <si>
    <t xml:space="preserve">     Прибыль/убыток от переоценки FVOCI</t>
  </si>
  <si>
    <t>Резервы с ограничениями</t>
  </si>
  <si>
    <t>Нераспределенная прибыль прошлых лет</t>
  </si>
  <si>
    <r>
      <rPr/>
      <t xml:space="preserve">ОФП: </t>
    </r>
    <r>
      <rPr>
        <color rgb="FF1155CC"/>
        <u/>
      </rPr>
      <t>https://investor.turkishairlines.com/en/financial-and-operational/financial-results?page=1&amp;year=-&amp;term=12-month</t>
    </r>
    <r>
      <rPr/>
      <t xml:space="preserve"> (отчётности в USD) - стр.9-10 (2020 гг.), стр.8-9 (остальные)</t>
    </r>
  </si>
  <si>
    <t>Чистый убыток / прибыль за год</t>
  </si>
  <si>
    <r>
      <rPr/>
      <t xml:space="preserve">ОПУ: </t>
    </r>
    <r>
      <rPr>
        <color rgb="FF1155CC"/>
        <u/>
      </rPr>
      <t>https://investor.turkishairlines.com/en/financial-and-operational/financial-results?page=1&amp;year=-&amp;term=12-month</t>
    </r>
    <r>
      <rPr/>
      <t xml:space="preserve"> (отчётности в USD) - стр.11 (2020 г.), стр.10 (остальные)</t>
    </r>
  </si>
  <si>
    <t>Капитал материнской компании</t>
  </si>
  <si>
    <t>Неконтролирующие доли</t>
  </si>
  <si>
    <t>Используемый курс доллара для рассчётов</t>
  </si>
  <si>
    <t>74 руб./доллар</t>
  </si>
  <si>
    <t>91 руб./доллар</t>
  </si>
  <si>
    <t>102 руб./доллар</t>
  </si>
  <si>
    <r>
      <rPr/>
      <t xml:space="preserve">Источник: Центральный банк Российской Федерации </t>
    </r>
    <r>
      <rPr>
        <color rgb="FF1155CC"/>
        <u/>
      </rPr>
      <t>https://www.cbr.ru/currency_base/dynamics/</t>
    </r>
  </si>
  <si>
    <t>ДОЛГОСРОЧНЫЕ ОБЯЗАТЕЛЬСТВА</t>
  </si>
  <si>
    <t>Долгосрочные займы</t>
  </si>
  <si>
    <t>Долгосрочные обязательства по аренде</t>
  </si>
  <si>
    <t>Прочая кредиторская задолженность</t>
  </si>
  <si>
    <t xml:space="preserve">     Отложенные доходы</t>
  </si>
  <si>
    <t>Долгосрочные резервы</t>
  </si>
  <si>
    <t xml:space="preserve">     Резервы на выплаты сотрудникам</t>
  </si>
  <si>
    <t xml:space="preserve">     Прочие резервы</t>
  </si>
  <si>
    <t>Отложенное налоговое обязательство</t>
  </si>
  <si>
    <t>ИТОГО ДОЛГОСРОЧНЫЕ ОБЯЗАТЕЛЬСТВА</t>
  </si>
  <si>
    <t>КРАТКОСРОЧНЫЕ ОБЯЗАТЕЛЬСТВА</t>
  </si>
  <si>
    <t>Краткосрочные займы</t>
  </si>
  <si>
    <t>Краткосрочная часть долгосрочных займов</t>
  </si>
  <si>
    <t>Краткосрочная часть обязательств по аренде</t>
  </si>
  <si>
    <t>Прочие финансовые обязательства</t>
  </si>
  <si>
    <t>Кредиторская задолженность</t>
  </si>
  <si>
    <t>Обязательства по выплатам сотрудникам</t>
  </si>
  <si>
    <t>Отложенные доходы</t>
  </si>
  <si>
    <t>Краткосрочные резервы</t>
  </si>
  <si>
    <t xml:space="preserve">     Текущий налоговый резерв</t>
  </si>
  <si>
    <t>Прочие краткосрочные обязательства</t>
  </si>
  <si>
    <t>ИТОГО КРАТКОСРОЧНЫЕ ОБЯЗАТЕЛЬСТВА</t>
  </si>
  <si>
    <t>2024г.</t>
  </si>
  <si>
    <t>Выручка от пассажирских перевозок и вертолетных работ</t>
  </si>
  <si>
    <t>Выручка от прочей реализации</t>
  </si>
  <si>
    <t>Операционные расходы и доходы</t>
  </si>
  <si>
    <t>Прямые операционные расходы</t>
  </si>
  <si>
    <t>Авансы под поставку основных средств и активов в форме права пользования</t>
  </si>
  <si>
    <t>Расходы на персонал</t>
  </si>
  <si>
    <t>Долгосрочные финансовые активы</t>
  </si>
  <si>
    <t>Износ и амортизация основных средств и активов в форме права пользования</t>
  </si>
  <si>
    <t>Инвестиции в компании, учитываемые методом долевого участия</t>
  </si>
  <si>
    <t>Затраты на ремонт</t>
  </si>
  <si>
    <t>Финансовые активы, оцениваемые по справедливой стоимости через прибыль или убыток</t>
  </si>
  <si>
    <t>Комиссионные вознаграждения</t>
  </si>
  <si>
    <t>Торговая и прочая дебиторская задолженность</t>
  </si>
  <si>
    <t>Государственные субсидии</t>
  </si>
  <si>
    <t>Обеспечительные депозиты по аренде воздушных судов</t>
  </si>
  <si>
    <t>Операции по продаже и обратной аренде</t>
  </si>
  <si>
    <t>Авансы выданные</t>
  </si>
  <si>
    <t>Прочие доходы</t>
  </si>
  <si>
    <t>Прочие расходы</t>
  </si>
  <si>
    <t>Результаты операционной деятельности</t>
  </si>
  <si>
    <t>Нетто-величина прибыли от изменения обменных курсов иностранных валют</t>
  </si>
  <si>
    <t>Резерв под ожидаемые кредитные убытки</t>
  </si>
  <si>
    <t>Затраты по договору</t>
  </si>
  <si>
    <t>Обесценивание авансов выданных</t>
  </si>
  <si>
    <t>Доля в прибыли (убытке) ассоциированных компаний</t>
  </si>
  <si>
    <t>Налоги к возмещению</t>
  </si>
  <si>
    <t>Восстановление (списание) запасов до возможной стоимости реализации</t>
  </si>
  <si>
    <t>Дебиторская задолженность по налогу на прибыль</t>
  </si>
  <si>
    <t>Прибыль (убыток) от выбытия основных средств</t>
  </si>
  <si>
    <t>Убыток от обесценивания внеоборотных активов</t>
  </si>
  <si>
    <t>Краткосрочные финансовые активы</t>
  </si>
  <si>
    <t>Результат от переоценки и обесценения активов</t>
  </si>
  <si>
    <t>(Убыток) прибыль от расторжения договоров аренды</t>
  </si>
  <si>
    <t>Прибыль от реструктуризации финансовых обязательств</t>
  </si>
  <si>
    <t>Активы, удерживаемые для продажи</t>
  </si>
  <si>
    <t>Всего активы</t>
  </si>
  <si>
    <t>Прибыль до налогообложения</t>
  </si>
  <si>
    <t>Собственный капитал</t>
  </si>
  <si>
    <t>Расход по налогу на прибыль</t>
  </si>
  <si>
    <t>Акционерный капитал</t>
  </si>
  <si>
    <t>Прибыль (убыток) за год</t>
  </si>
  <si>
    <t>Эмиссионный доход</t>
  </si>
  <si>
    <t>Собственные выкупленные акции</t>
  </si>
  <si>
    <t>Резерв курсовых разниц при пересчете из других валют</t>
  </si>
  <si>
    <t>Резерв на переоценку основных средств и активов в форме права пользования</t>
  </si>
  <si>
    <t xml:space="preserve">Очет о прибылях и убытках - </t>
  </si>
  <si>
    <t>https://smart-lab.ru/q/UTAR/f/y/MSFO/</t>
  </si>
  <si>
    <t>Результат оценки актуарных обязательств</t>
  </si>
  <si>
    <t>Отчет о финансовом положении -</t>
  </si>
  <si>
    <t>Непокрытый убыток</t>
  </si>
  <si>
    <t>Итого собственный капитал, принадлежащий акционерам Компании</t>
  </si>
  <si>
    <t>Доля неконтролирующих акционеров</t>
  </si>
  <si>
    <t>Итого собственный капитал</t>
  </si>
  <si>
    <t>Кредиты и займы</t>
  </si>
  <si>
    <t>Торговая и прочая кредиторская задолженность</t>
  </si>
  <si>
    <t>Доходы будущих периодов</t>
  </si>
  <si>
    <t>Отложенная выручка по программе лояльности часто летающих пассажиров</t>
  </si>
  <si>
    <t>Авансы, полученные от покупателей и заказчиков</t>
  </si>
  <si>
    <t>Задолженность по прочим налогам и сборам</t>
  </si>
  <si>
    <t>Обязательства по пособиям по окончании трудовой деятельности</t>
  </si>
  <si>
    <t>Доходы будущих периодов и прочие нефинансовые обязательства</t>
  </si>
  <si>
    <t>Обязательства по договорам – пассажирские перевозки</t>
  </si>
  <si>
    <t>Кредиторская задолженность по налогу на прибыль</t>
  </si>
  <si>
    <t>Оценочные обязательства</t>
  </si>
  <si>
    <t>Итого обязательства</t>
  </si>
  <si>
    <t>Итого собственный капитал и обязательства</t>
  </si>
  <si>
    <r>
      <rPr>
        <rFont val="Arial"/>
        <color theme="1"/>
        <sz val="11.0"/>
      </rPr>
      <t>2020 г</t>
    </r>
    <r>
      <rPr>
        <rFont val="Arial"/>
        <color theme="1"/>
      </rPr>
      <t>.</t>
    </r>
  </si>
  <si>
    <r>
      <rPr>
        <rFont val="Arial"/>
        <color theme="1"/>
        <sz val="11.0"/>
      </rPr>
      <t>2020 г</t>
    </r>
    <r>
      <rPr>
        <rFont val="Arial"/>
        <color theme="1"/>
      </rPr>
      <t>.</t>
    </r>
  </si>
  <si>
    <r>
      <rPr>
        <rFont val="Arial"/>
        <color theme="1"/>
        <sz val="11.0"/>
      </rPr>
      <t>2020 г</t>
    </r>
    <r>
      <rPr>
        <rFont val="Arial"/>
        <color theme="1"/>
      </rPr>
      <t>.</t>
    </r>
  </si>
  <si>
    <t>Аэрофлот</t>
  </si>
  <si>
    <t>Utair</t>
  </si>
  <si>
    <t>TurkishAirlines</t>
  </si>
  <si>
    <t>Оборачиваемость дебиторской задолженности (в днях)</t>
  </si>
  <si>
    <t>Рентабельность продаж (ROS) %</t>
  </si>
  <si>
    <t>Рентабельность активов (ROA) %</t>
  </si>
  <si>
    <t>Рентабельность собственного капитала (ROE) %</t>
  </si>
  <si>
    <t>Горизонтальный анализ (Аэрофлот) ОФП</t>
  </si>
  <si>
    <t>Изменения (базовый год 2020)</t>
  </si>
  <si>
    <t>Абсолютные отклонения</t>
  </si>
  <si>
    <t>Относительные отклонения</t>
  </si>
  <si>
    <t>на 31 декабря 202X года в миллионах рублей, если не указано иное</t>
  </si>
  <si>
    <t>Темп роста</t>
  </si>
  <si>
    <t>Темп прироста</t>
  </si>
  <si>
    <t>Темпы роста</t>
  </si>
  <si>
    <t>Темпы прироста</t>
  </si>
  <si>
    <t>Темпы роста капитала Аэрофлота относительно базового года</t>
  </si>
  <si>
    <t>год</t>
  </si>
  <si>
    <t>Капитал, приходящийся на акционеров компании</t>
  </si>
  <si>
    <t>2021г</t>
  </si>
  <si>
    <t>2023г</t>
  </si>
  <si>
    <t>2024г</t>
  </si>
  <si>
    <t>Горизонтальный анализ (Ютэир) ОФП</t>
  </si>
  <si>
    <t>Горизонтальный анализ (TurkishAirlines) ОФП</t>
  </si>
  <si>
    <t>Ютэер</t>
  </si>
  <si>
    <t>операционные расходы</t>
  </si>
  <si>
    <t>Темп роста выручки</t>
  </si>
  <si>
    <t>Заёмные средства = Краткосрочные кредиты и займы + Долгосрочные кредиты и займы</t>
  </si>
  <si>
    <t>Активы</t>
  </si>
  <si>
    <t>Темп роста активов</t>
  </si>
  <si>
    <t>Чистая прибыль</t>
  </si>
  <si>
    <t>Темп роста чистой прибыли</t>
  </si>
  <si>
    <t>Графики из Горизонтального анализа</t>
  </si>
  <si>
    <t>Год</t>
  </si>
  <si>
    <t>Ютэир</t>
  </si>
  <si>
    <t>Общеотраслевые показатели</t>
  </si>
  <si>
    <t>2020г</t>
  </si>
  <si>
    <t>Изменения в структуре капитала Аэрофлота</t>
  </si>
  <si>
    <t>Изменения в обязательствах Аэрофлота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</si>
</sst>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руб.&quot;"/>
    <numFmt numFmtId="165" formatCode="0.0"/>
  </numFmts>
  <fonts count="3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color rgb="FF0000FF"/>
      <name val="Arial"/>
    </font>
    <font>
      <sz val="11.0"/>
      <color theme="1"/>
      <name val="Arial"/>
      <scheme val="minor"/>
    </font>
    <font>
      <sz val="10.0"/>
      <color rgb="FF000000"/>
      <name val="Arial"/>
    </font>
    <font>
      <b/>
      <sz val="11.0"/>
      <color rgb="FF000000"/>
      <name val="Arial"/>
    </font>
    <font>
      <color rgb="FF000000"/>
      <name val="Arial"/>
    </font>
    <font>
      <b/>
      <sz val="10.0"/>
      <color rgb="FF000000"/>
      <name val="Arial"/>
    </font>
    <font>
      <sz val="10.0"/>
      <color rgb="FF000000"/>
      <name val="&quot;Times New Roman&quot;"/>
    </font>
    <font>
      <b/>
      <color rgb="FF000000"/>
      <name val="&quot;Times New Roman&quot;"/>
    </font>
    <font>
      <sz val="10.0"/>
      <color rgb="FF404040"/>
      <name val="Arial"/>
      <scheme val="minor"/>
    </font>
    <font>
      <color rgb="FF000000"/>
      <name val="Arial"/>
      <scheme val="minor"/>
    </font>
    <font>
      <b/>
      <sz val="11.0"/>
      <color rgb="FF404040"/>
      <name val="Arial"/>
      <scheme val="minor"/>
    </font>
    <font>
      <b/>
      <sz val="10.0"/>
      <color rgb="FF404040"/>
      <name val="Arial"/>
      <scheme val="minor"/>
    </font>
    <font>
      <color rgb="FF000000"/>
      <name val="&quot;Times New Roman&quot;"/>
    </font>
    <font>
      <u/>
      <color rgb="FF0000FF"/>
    </font>
    <font>
      <u/>
      <color rgb="FF0000FF"/>
    </font>
    <font>
      <sz val="10.0"/>
      <color rgb="FF494949"/>
      <name val="Menlo"/>
    </font>
    <font>
      <color rgb="FF494949"/>
      <name val="Arial"/>
    </font>
    <font>
      <color rgb="FF494949"/>
      <name val="Menlo"/>
    </font>
    <font>
      <b/>
      <sz val="13.0"/>
      <color theme="1"/>
      <name val="Arial"/>
      <scheme val="minor"/>
    </font>
    <font/>
    <font>
      <b/>
      <sz val="11.0"/>
      <color theme="1"/>
      <name val="Arial"/>
    </font>
    <font>
      <sz val="12.0"/>
      <color theme="1"/>
      <name val="Arial"/>
      <scheme val="minor"/>
    </font>
    <font>
      <b/>
      <sz val="22.0"/>
      <color theme="1"/>
      <name val="Arial"/>
      <scheme val="minor"/>
    </font>
    <font>
      <b/>
      <sz val="18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CCEFAA"/>
        <bgColor rgb="FFCCEFAA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4" numFmtId="0" xfId="0" applyAlignment="1" applyFont="1">
      <alignment readingOrder="0" vertical="bottom"/>
    </xf>
    <xf borderId="0" fillId="3" fontId="3" numFmtId="0" xfId="0" applyFont="1"/>
    <xf borderId="0" fillId="3" fontId="3" numFmtId="0" xfId="0" applyAlignment="1" applyFont="1">
      <alignment readingOrder="0"/>
    </xf>
    <xf borderId="0" fillId="4" fontId="5" numFmtId="0" xfId="0" applyAlignment="1" applyFont="1">
      <alignment readingOrder="0" vertical="bottom"/>
    </xf>
    <xf borderId="0" fillId="4" fontId="6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5" fontId="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5" numFmtId="0" xfId="0" applyAlignment="1" applyFont="1">
      <alignment vertical="bottom"/>
    </xf>
    <xf borderId="0" fillId="5" fontId="3" numFmtId="0" xfId="0" applyAlignment="1" applyFont="1">
      <alignment readingOrder="0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3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4" fontId="4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3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3" fontId="5" numFmtId="0" xfId="0" applyAlignment="1" applyFont="1">
      <alignment vertical="bottom"/>
    </xf>
    <xf borderId="0" fillId="0" fontId="3" numFmtId="0" xfId="0" applyFont="1"/>
    <xf borderId="0" fillId="0" fontId="5" numFmtId="0" xfId="0" applyAlignment="1" applyFont="1">
      <alignment vertical="bottom"/>
    </xf>
    <xf borderId="0" fillId="6" fontId="5" numFmtId="0" xfId="0" applyAlignment="1" applyFill="1" applyFont="1">
      <alignment horizontal="right" vertical="bottom"/>
    </xf>
    <xf borderId="0" fillId="5" fontId="3" numFmtId="0" xfId="0" applyFont="1"/>
    <xf borderId="0" fillId="5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7" numFmtId="0" xfId="0" applyAlignment="1" applyFont="1">
      <alignment readingOrder="0"/>
    </xf>
    <xf borderId="0" fillId="4" fontId="5" numFmtId="0" xfId="0" applyAlignment="1" applyFont="1">
      <alignment vertical="bottom"/>
    </xf>
    <xf borderId="0" fillId="5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10" numFmtId="0" xfId="0" applyAlignment="1" applyFont="1">
      <alignment horizontal="left" readingOrder="0" vertical="bottom"/>
    </xf>
    <xf borderId="0" fillId="6" fontId="3" numFmtId="0" xfId="0" applyFont="1"/>
    <xf borderId="0" fillId="6" fontId="2" numFmtId="0" xfId="0" applyAlignment="1" applyFont="1">
      <alignment readingOrder="0"/>
    </xf>
    <xf borderId="0" fillId="6" fontId="5" numFmtId="0" xfId="0" applyAlignment="1" applyFont="1">
      <alignment vertical="bottom"/>
    </xf>
    <xf borderId="0" fillId="6" fontId="3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6" fontId="5" numFmtId="0" xfId="0" applyAlignment="1" applyFont="1">
      <alignment horizontal="right" readingOrder="0" vertical="bottom"/>
    </xf>
    <xf borderId="0" fillId="6" fontId="5" numFmtId="0" xfId="0" applyAlignment="1" applyFont="1">
      <alignment readingOrder="0" vertical="bottom"/>
    </xf>
    <xf borderId="0" fillId="7" fontId="5" numFmtId="0" xfId="0" applyAlignment="1" applyFill="1" applyFont="1">
      <alignment horizontal="right" vertical="bottom"/>
    </xf>
    <xf borderId="0" fillId="6" fontId="5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8" fontId="1" numFmtId="0" xfId="0" applyAlignment="1" applyFill="1" applyFont="1">
      <alignment readingOrder="0"/>
    </xf>
    <xf borderId="0" fillId="8" fontId="3" numFmtId="0" xfId="0" applyFont="1"/>
    <xf borderId="0" fillId="8" fontId="6" numFmtId="0" xfId="0" applyAlignment="1" applyFont="1">
      <alignment readingOrder="0"/>
    </xf>
    <xf borderId="0" fillId="0" fontId="11" numFmtId="2" xfId="0" applyFont="1" applyNumberFormat="1"/>
    <xf borderId="0" fillId="0" fontId="11" numFmtId="2" xfId="0" applyFont="1" applyNumberFormat="1"/>
    <xf borderId="0" fillId="0" fontId="11" numFmtId="0" xfId="0" applyFont="1"/>
    <xf borderId="0" fillId="0" fontId="12" numFmtId="0" xfId="0" applyAlignment="1" applyFont="1">
      <alignment readingOrder="0"/>
    </xf>
    <xf borderId="0" fillId="8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1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6" numFmtId="0" xfId="0" applyAlignment="1" applyFont="1">
      <alignment horizontal="left" readingOrder="0" vertical="top"/>
    </xf>
    <xf borderId="0" fillId="4" fontId="17" numFmtId="0" xfId="0" applyAlignment="1" applyFont="1">
      <alignment horizontal="right" readingOrder="0" shrinkToFit="0" vertical="top" wrapText="0"/>
    </xf>
    <xf borderId="0" fillId="4" fontId="6" numFmtId="0" xfId="0" applyAlignment="1" applyFont="1">
      <alignment horizontal="left" readingOrder="0" vertical="top"/>
    </xf>
    <xf borderId="0" fillId="4" fontId="2" numFmtId="0" xfId="0" applyAlignment="1" applyFont="1">
      <alignment horizontal="left" readingOrder="0" vertical="top"/>
    </xf>
    <xf borderId="0" fillId="4" fontId="18" numFmtId="0" xfId="0" applyAlignment="1" applyFont="1">
      <alignment horizontal="left" readingOrder="0"/>
    </xf>
    <xf borderId="0" fillId="4" fontId="19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readingOrder="0" vertical="top"/>
    </xf>
    <xf borderId="0" fillId="0" fontId="19" numFmtId="0" xfId="0" applyAlignment="1" applyFont="1">
      <alignment horizontal="right" readingOrder="0" vertical="bottom"/>
    </xf>
    <xf borderId="0" fillId="3" fontId="18" numFmtId="0" xfId="0" applyAlignment="1" applyFont="1">
      <alignment horizontal="left" readingOrder="0"/>
    </xf>
    <xf borderId="0" fillId="3" fontId="19" numFmtId="0" xfId="0" applyAlignment="1" applyFont="1">
      <alignment horizontal="left" readingOrder="0" shrinkToFit="0" vertical="top" wrapText="0"/>
    </xf>
    <xf borderId="0" fillId="4" fontId="19" numFmtId="0" xfId="0" applyAlignment="1" applyFont="1">
      <alignment horizontal="right" readingOrder="0" vertical="bottom"/>
    </xf>
    <xf borderId="0" fillId="4" fontId="20" numFmtId="0" xfId="0" applyAlignment="1" applyFont="1">
      <alignment horizontal="left" readingOrder="0"/>
    </xf>
    <xf borderId="0" fillId="0" fontId="19" numFmtId="0" xfId="0" applyAlignment="1" applyFont="1">
      <alignment horizontal="left" readingOrder="0" shrinkToFit="0" vertical="top" wrapText="0"/>
    </xf>
    <xf borderId="0" fillId="4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3" fontId="20" numFmtId="0" xfId="0" applyAlignment="1" applyFont="1">
      <alignment horizontal="left" readingOrder="0"/>
    </xf>
    <xf borderId="0" fillId="0" fontId="3" numFmtId="0" xfId="0" applyFont="1"/>
    <xf borderId="0" fillId="3" fontId="0" numFmtId="0" xfId="0" applyAlignment="1" applyFont="1">
      <alignment horizontal="left" readingOrder="0" shrinkToFit="0" vertical="top" wrapText="0"/>
    </xf>
    <xf borderId="0" fillId="4" fontId="21" numFmtId="0" xfId="0" applyAlignment="1" applyFont="1">
      <alignment horizontal="left" readingOrder="0"/>
    </xf>
    <xf borderId="0" fillId="4" fontId="0" numFmtId="0" xfId="0" applyAlignment="1" applyFont="1">
      <alignment horizontal="left" readingOrder="0" shrinkToFit="0" vertical="top" wrapText="0"/>
    </xf>
    <xf borderId="0" fillId="4" fontId="9" numFmtId="0" xfId="0" applyAlignment="1" applyFont="1">
      <alignment horizontal="left" vertical="top"/>
    </xf>
    <xf borderId="0" fillId="3" fontId="8" numFmtId="0" xfId="0" applyAlignment="1" applyFont="1">
      <alignment horizontal="left" vertical="top"/>
    </xf>
    <xf borderId="0" fillId="0" fontId="19" numFmtId="0" xfId="0" applyAlignment="1" applyFont="1">
      <alignment horizontal="left" shrinkToFit="0" vertical="top" wrapText="0"/>
    </xf>
    <xf borderId="0" fillId="0" fontId="22" numFmtId="0" xfId="0" applyAlignment="1" applyFont="1">
      <alignment horizontal="left" shrinkToFit="0" vertical="top" wrapText="0"/>
    </xf>
    <xf borderId="0" fillId="0" fontId="2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9" numFmtId="0" xfId="0" applyAlignment="1" applyFont="1">
      <alignment horizontal="left" readingOrder="0" vertical="top"/>
    </xf>
    <xf borderId="0" fillId="0" fontId="11" numFmtId="2" xfId="0" applyAlignment="1" applyFont="1" applyNumberFormat="1">
      <alignment readingOrder="0"/>
    </xf>
    <xf borderId="0" fillId="0" fontId="11" numFmtId="2" xfId="0" applyAlignment="1" applyFont="1" applyNumberFormat="1">
      <alignment horizontal="right" readingOrder="0"/>
    </xf>
    <xf borderId="0" fillId="2" fontId="8" numFmtId="0" xfId="0" applyAlignment="1" applyFont="1">
      <alignment horizontal="center" readingOrder="0"/>
    </xf>
    <xf borderId="0" fillId="5" fontId="9" numFmtId="0" xfId="0" applyFont="1"/>
    <xf borderId="0" fillId="5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4" fontId="3" numFmtId="1" xfId="0" applyAlignment="1" applyFont="1" applyNumberFormat="1">
      <alignment horizontal="right" readingOrder="0"/>
    </xf>
    <xf borderId="0" fillId="4" fontId="3" numFmtId="1" xfId="0" applyAlignment="1" applyFont="1" applyNumberFormat="1">
      <alignment readingOrder="0"/>
    </xf>
    <xf borderId="0" fillId="3" fontId="3" numFmtId="1" xfId="0" applyAlignment="1" applyFont="1" applyNumberFormat="1">
      <alignment horizontal="right" readingOrder="0"/>
    </xf>
    <xf borderId="0" fillId="3" fontId="3" numFmtId="1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8" numFmtId="0" xfId="0" applyAlignment="1" applyFont="1">
      <alignment horizontal="right" readingOrder="0"/>
    </xf>
    <xf borderId="0" fillId="0" fontId="9" numFmtId="0" xfId="0" applyAlignment="1" applyFont="1">
      <alignment horizontal="right" readingOrder="0"/>
    </xf>
    <xf borderId="0" fillId="4" fontId="2" numFmtId="1" xfId="0" applyAlignment="1" applyFont="1" applyNumberFormat="1">
      <alignment horizontal="right" readingOrder="0"/>
    </xf>
    <xf borderId="0" fillId="4" fontId="2" numFmtId="1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3" fontId="3" numFmtId="1" xfId="0" applyFont="1" applyNumberFormat="1"/>
    <xf borderId="0" fillId="0" fontId="9" numFmtId="0" xfId="0" applyFont="1"/>
    <xf borderId="0" fillId="3" fontId="2" numFmtId="1" xfId="0" applyAlignment="1" applyFont="1" applyNumberFormat="1">
      <alignment horizontal="right" readingOrder="0"/>
    </xf>
    <xf borderId="0" fillId="3" fontId="2" numFmtId="1" xfId="0" applyAlignment="1" applyFont="1" applyNumberFormat="1">
      <alignment readingOrder="0"/>
    </xf>
    <xf borderId="0" fillId="5" fontId="3" numFmtId="0" xfId="0" applyAlignment="1" applyFont="1">
      <alignment horizontal="right"/>
    </xf>
    <xf borderId="0" fillId="5" fontId="3" numFmtId="0" xfId="0" applyAlignment="1" applyFont="1">
      <alignment horizontal="right" readingOrder="0"/>
    </xf>
    <xf borderId="0" fillId="5" fontId="9" numFmtId="0" xfId="0" applyAlignment="1" applyFont="1">
      <alignment horizontal="right"/>
    </xf>
    <xf borderId="0" fillId="4" fontId="8" numFmtId="0" xfId="0" applyAlignment="1" applyFont="1">
      <alignment readingOrder="0"/>
    </xf>
    <xf borderId="0" fillId="4" fontId="3" numFmtId="0" xfId="0" applyAlignment="1" applyFont="1">
      <alignment horizontal="right"/>
    </xf>
    <xf borderId="0" fillId="4" fontId="9" numFmtId="0" xfId="0" applyAlignment="1" applyFont="1">
      <alignment horizontal="right"/>
    </xf>
    <xf borderId="0" fillId="3" fontId="3" numFmtId="1" xfId="0" applyAlignment="1" applyFont="1" applyNumberFormat="1">
      <alignment horizontal="right"/>
    </xf>
    <xf borderId="0" fillId="5" fontId="18" numFmtId="0" xfId="0" applyAlignment="1" applyFont="1">
      <alignment horizontal="right" readingOrder="0"/>
    </xf>
    <xf borderId="0" fillId="5" fontId="9" numFmtId="0" xfId="0" applyAlignment="1" applyFont="1">
      <alignment horizontal="right" readingOrder="0"/>
    </xf>
    <xf borderId="0" fillId="6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4" fontId="18" numFmtId="0" xfId="0" applyAlignment="1" applyFont="1">
      <alignment horizontal="right" readingOrder="0"/>
    </xf>
    <xf borderId="0" fillId="0" fontId="9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3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6" fontId="9" numFmtId="0" xfId="0" applyFont="1"/>
    <xf borderId="0" fillId="4" fontId="21" numFmtId="0" xfId="0" applyAlignment="1" applyFont="1">
      <alignment readingOrder="0"/>
    </xf>
    <xf borderId="0" fillId="4" fontId="1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4" numFmtId="0" xfId="0" applyAlignment="1" applyFont="1">
      <alignment readingOrder="0"/>
    </xf>
    <xf borderId="0" fillId="4" fontId="18" numFmtId="0" xfId="0" applyFont="1"/>
    <xf borderId="0" fillId="0" fontId="25" numFmtId="0" xfId="0" applyAlignment="1" applyFont="1">
      <alignment horizontal="right" readingOrder="0"/>
    </xf>
    <xf borderId="0" fillId="6" fontId="25" numFmtId="0" xfId="0" applyAlignment="1" applyFont="1">
      <alignment readingOrder="0"/>
    </xf>
    <xf borderId="0" fillId="4" fontId="18" numFmtId="0" xfId="0" applyFont="1"/>
    <xf borderId="0" fillId="3" fontId="26" numFmtId="0" xfId="0" applyAlignment="1" applyFont="1">
      <alignment horizontal="right" readingOrder="0" vertical="bottom"/>
    </xf>
    <xf borderId="0" fillId="6" fontId="27" numFmtId="0" xfId="0" applyAlignment="1" applyFont="1">
      <alignment horizontal="right" vertical="bottom"/>
    </xf>
    <xf borderId="0" fillId="0" fontId="3" numFmtId="2" xfId="0" applyFont="1" applyNumberFormat="1"/>
    <xf borderId="0" fillId="3" fontId="3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9" fontId="28" numFmtId="0" xfId="0" applyAlignment="1" applyBorder="1" applyFill="1" applyFont="1">
      <alignment horizontal="center" readingOrder="0"/>
    </xf>
    <xf borderId="2" fillId="4" fontId="29" numFmtId="0" xfId="0" applyBorder="1" applyFont="1"/>
    <xf borderId="3" fillId="4" fontId="29" numFmtId="0" xfId="0" applyBorder="1" applyFont="1"/>
    <xf borderId="4" fillId="3" fontId="7" numFmtId="0" xfId="0" applyAlignment="1" applyBorder="1" applyFont="1">
      <alignment horizontal="center" readingOrder="0"/>
    </xf>
    <xf borderId="0" fillId="3" fontId="7" numFmtId="0" xfId="0" applyAlignment="1" applyFont="1">
      <alignment horizontal="center" readingOrder="0"/>
    </xf>
    <xf borderId="5" fillId="3" fontId="7" numFmtId="0" xfId="0" applyAlignment="1" applyBorder="1" applyFont="1">
      <alignment horizontal="center" readingOrder="0"/>
    </xf>
    <xf borderId="4" fillId="0" fontId="3" numFmtId="0" xfId="0" applyBorder="1" applyFont="1"/>
    <xf borderId="5" fillId="3" fontId="3" numFmtId="0" xfId="0" applyBorder="1" applyFont="1"/>
    <xf borderId="4" fillId="3" fontId="3" numFmtId="0" xfId="0" applyBorder="1" applyFont="1"/>
    <xf borderId="4" fillId="4" fontId="11" numFmtId="2" xfId="0" applyBorder="1" applyFont="1" applyNumberFormat="1"/>
    <xf borderId="0" fillId="4" fontId="11" numFmtId="2" xfId="0" applyAlignment="1" applyFont="1" applyNumberFormat="1">
      <alignment readingOrder="0"/>
    </xf>
    <xf borderId="0" fillId="4" fontId="11" numFmtId="2" xfId="0" applyFont="1" applyNumberFormat="1"/>
    <xf borderId="5" fillId="4" fontId="11" numFmtId="2" xfId="0" applyBorder="1" applyFont="1" applyNumberFormat="1"/>
    <xf borderId="4" fillId="0" fontId="11" numFmtId="2" xfId="0" applyBorder="1" applyFont="1" applyNumberFormat="1"/>
    <xf borderId="4" fillId="3" fontId="11" numFmtId="2" xfId="0" applyBorder="1" applyFont="1" applyNumberFormat="1"/>
    <xf borderId="0" fillId="3" fontId="11" numFmtId="2" xfId="0" applyFont="1" applyNumberFormat="1"/>
    <xf borderId="5" fillId="3" fontId="11" numFmtId="2" xfId="0" applyBorder="1" applyFont="1" applyNumberFormat="1"/>
    <xf borderId="4" fillId="0" fontId="11" numFmtId="2" xfId="0" applyBorder="1" applyFont="1" applyNumberFormat="1"/>
    <xf borderId="4" fillId="3" fontId="11" numFmtId="2" xfId="0" applyAlignment="1" applyBorder="1" applyFont="1" applyNumberFormat="1">
      <alignment readingOrder="0"/>
    </xf>
    <xf borderId="0" fillId="3" fontId="11" numFmtId="2" xfId="0" applyAlignment="1" applyFont="1" applyNumberFormat="1">
      <alignment readingOrder="0"/>
    </xf>
    <xf borderId="5" fillId="3" fontId="11" numFmtId="2" xfId="0" applyAlignment="1" applyBorder="1" applyFont="1" applyNumberFormat="1">
      <alignment readingOrder="0"/>
    </xf>
    <xf borderId="4" fillId="4" fontId="11" numFmtId="2" xfId="0" applyAlignment="1" applyBorder="1" applyFont="1" applyNumberFormat="1">
      <alignment readingOrder="0"/>
    </xf>
    <xf borderId="5" fillId="4" fontId="11" numFmtId="2" xfId="0" applyAlignment="1" applyBorder="1" applyFont="1" applyNumberFormat="1">
      <alignment readingOrder="0"/>
    </xf>
    <xf borderId="4" fillId="3" fontId="11" numFmtId="0" xfId="0" applyBorder="1" applyFont="1"/>
    <xf borderId="0" fillId="3" fontId="11" numFmtId="0" xfId="0" applyFont="1"/>
    <xf borderId="5" fillId="3" fontId="11" numFmtId="0" xfId="0" applyBorder="1" applyFont="1"/>
    <xf borderId="4" fillId="0" fontId="11" numFmtId="0" xfId="0" applyBorder="1" applyFont="1"/>
    <xf borderId="0" fillId="3" fontId="12" numFmtId="0" xfId="0" applyAlignment="1" applyFont="1">
      <alignment readingOrder="0"/>
    </xf>
    <xf borderId="0" fillId="4" fontId="12" numFmtId="0" xfId="0" applyAlignment="1" applyFont="1">
      <alignment readingOrder="0"/>
    </xf>
    <xf borderId="4" fillId="4" fontId="11" numFmtId="165" xfId="0" applyBorder="1" applyFont="1" applyNumberFormat="1"/>
    <xf borderId="0" fillId="4" fontId="11" numFmtId="165" xfId="0" applyFont="1" applyNumberFormat="1"/>
    <xf borderId="5" fillId="4" fontId="11" numFmtId="165" xfId="0" applyBorder="1" applyFont="1" applyNumberFormat="1"/>
    <xf borderId="4" fillId="0" fontId="11" numFmtId="165" xfId="0" applyBorder="1" applyFont="1" applyNumberFormat="1"/>
    <xf borderId="4" fillId="4" fontId="11" numFmtId="165" xfId="0" applyAlignment="1" applyBorder="1" applyFont="1" applyNumberFormat="1">
      <alignment readingOrder="0"/>
    </xf>
    <xf borderId="0" fillId="4" fontId="11" numFmtId="165" xfId="0" applyAlignment="1" applyFont="1" applyNumberFormat="1">
      <alignment readingOrder="0"/>
    </xf>
    <xf borderId="5" fillId="4" fontId="11" numFmtId="165" xfId="0" applyAlignment="1" applyBorder="1" applyFont="1" applyNumberFormat="1">
      <alignment readingOrder="0"/>
    </xf>
    <xf borderId="4" fillId="3" fontId="11" numFmtId="165" xfId="0" applyBorder="1" applyFont="1" applyNumberFormat="1"/>
    <xf borderId="0" fillId="3" fontId="11" numFmtId="165" xfId="0" applyFont="1" applyNumberFormat="1"/>
    <xf borderId="5" fillId="3" fontId="11" numFmtId="165" xfId="0" applyBorder="1" applyFont="1" applyNumberFormat="1"/>
    <xf borderId="0" fillId="3" fontId="11" numFmtId="165" xfId="0" applyAlignment="1" applyFont="1" applyNumberFormat="1">
      <alignment readingOrder="0"/>
    </xf>
    <xf borderId="5" fillId="3" fontId="3" numFmtId="165" xfId="0" applyBorder="1" applyFont="1" applyNumberFormat="1"/>
    <xf borderId="4" fillId="3" fontId="11" numFmtId="165" xfId="0" applyAlignment="1" applyBorder="1" applyFont="1" applyNumberFormat="1">
      <alignment readingOrder="0"/>
    </xf>
    <xf borderId="5" fillId="3" fontId="11" numFmtId="165" xfId="0" applyAlignment="1" applyBorder="1" applyFont="1" applyNumberFormat="1">
      <alignment readingOrder="0"/>
    </xf>
    <xf borderId="4" fillId="4" fontId="11" numFmtId="0" xfId="0" applyBorder="1" applyFont="1"/>
    <xf borderId="0" fillId="4" fontId="11" numFmtId="0" xfId="0" applyFont="1"/>
    <xf borderId="5" fillId="4" fontId="11" numFmtId="0" xfId="0" applyBorder="1" applyFont="1"/>
    <xf borderId="4" fillId="4" fontId="11" numFmtId="165" xfId="0" applyAlignment="1" applyBorder="1" applyFont="1" applyNumberFormat="1">
      <alignment horizontal="right" readingOrder="0"/>
    </xf>
    <xf borderId="4" fillId="3" fontId="11" numFmtId="165" xfId="0" applyAlignment="1" applyBorder="1" applyFont="1" applyNumberFormat="1">
      <alignment horizontal="right" readingOrder="0"/>
    </xf>
    <xf borderId="0" fillId="4" fontId="11" numFmtId="165" xfId="0" applyAlignment="1" applyFont="1" applyNumberFormat="1">
      <alignment horizontal="right" readingOrder="0"/>
    </xf>
    <xf borderId="5" fillId="4" fontId="11" numFmtId="165" xfId="0" applyAlignment="1" applyBorder="1" applyFont="1" applyNumberFormat="1">
      <alignment horizontal="right" readingOrder="0"/>
    </xf>
    <xf borderId="0" fillId="3" fontId="14" numFmtId="0" xfId="0" applyAlignment="1" applyFont="1">
      <alignment readingOrder="0"/>
    </xf>
    <xf borderId="6" fillId="4" fontId="11" numFmtId="165" xfId="0" applyAlignment="1" applyBorder="1" applyFont="1" applyNumberFormat="1">
      <alignment horizontal="right" readingOrder="0"/>
    </xf>
    <xf borderId="7" fillId="4" fontId="11" numFmtId="165" xfId="0" applyBorder="1" applyFont="1" applyNumberFormat="1"/>
    <xf borderId="8" fillId="4" fontId="11" numFmtId="165" xfId="0" applyBorder="1" applyFont="1" applyNumberFormat="1"/>
    <xf borderId="6" fillId="0" fontId="11" numFmtId="165" xfId="0" applyBorder="1" applyFont="1" applyNumberFormat="1"/>
    <xf borderId="7" fillId="4" fontId="11" numFmtId="165" xfId="0" applyAlignment="1" applyBorder="1" applyFont="1" applyNumberFormat="1">
      <alignment readingOrder="0"/>
    </xf>
    <xf borderId="8" fillId="4" fontId="11" numFmtId="165" xfId="0" applyAlignment="1" applyBorder="1" applyFont="1" applyNumberFormat="1">
      <alignment readingOrder="0"/>
    </xf>
    <xf borderId="0" fillId="6" fontId="28" numFmtId="0" xfId="0" applyAlignment="1" applyFont="1">
      <alignment horizontal="center" readingOrder="0"/>
    </xf>
    <xf borderId="0" fillId="6" fontId="6" numFmtId="0" xfId="0" applyAlignment="1" applyFont="1">
      <alignment readingOrder="0"/>
    </xf>
    <xf borderId="0" fillId="6" fontId="11" numFmtId="2" xfId="0" applyFont="1" applyNumberFormat="1"/>
    <xf borderId="0" fillId="6" fontId="11" numFmtId="2" xfId="0" applyAlignment="1" applyFont="1" applyNumberFormat="1">
      <alignment readingOrder="0"/>
    </xf>
    <xf borderId="0" fillId="6" fontId="11" numFmtId="0" xfId="0" applyFont="1"/>
    <xf borderId="0" fillId="6" fontId="12" numFmtId="0" xfId="0" applyAlignment="1" applyFont="1">
      <alignment readingOrder="0"/>
    </xf>
    <xf borderId="0" fillId="6" fontId="3" numFmtId="2" xfId="0" applyFont="1" applyNumberFormat="1"/>
    <xf borderId="0" fillId="6" fontId="13" numFmtId="0" xfId="0" applyAlignment="1" applyFont="1">
      <alignment readingOrder="0"/>
    </xf>
    <xf borderId="0" fillId="6" fontId="14" numFmtId="0" xfId="0" applyAlignment="1" applyFont="1">
      <alignment readingOrder="0"/>
    </xf>
    <xf borderId="0" fillId="6" fontId="11" numFmtId="2" xfId="0" applyAlignment="1" applyFont="1" applyNumberFormat="1">
      <alignment horizontal="right" readingOrder="0"/>
    </xf>
    <xf borderId="0" fillId="6" fontId="11" numFmtId="165" xfId="0" applyAlignment="1" applyFont="1" applyNumberFormat="1">
      <alignment horizontal="right" readingOrder="0"/>
    </xf>
    <xf borderId="0" fillId="6" fontId="11" numFmtId="165" xfId="0" applyAlignment="1" applyFont="1" applyNumberFormat="1">
      <alignment readingOrder="0"/>
    </xf>
    <xf borderId="0" fillId="2" fontId="1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shrinkToFit="0" vertical="center" wrapText="1"/>
    </xf>
    <xf borderId="0" fillId="9" fontId="6" numFmtId="0" xfId="0" applyAlignment="1" applyFont="1">
      <alignment horizontal="center" readingOrder="0" shrinkToFit="0" vertical="center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9" fontId="30" numFmtId="0" xfId="0" applyAlignment="1" applyFont="1">
      <alignment horizontal="center" shrinkToFit="0" vertical="center" wrapText="1"/>
    </xf>
    <xf borderId="0" fillId="10" fontId="30" numFmtId="0" xfId="0" applyAlignment="1" applyFont="1">
      <alignment horizontal="center" shrinkToFit="0" vertical="center" wrapText="1"/>
    </xf>
    <xf borderId="0" fillId="4" fontId="30" numFmtId="0" xfId="0" applyAlignment="1" applyFont="1">
      <alignment horizontal="center" shrinkToFit="0" vertical="center" wrapText="1"/>
    </xf>
    <xf borderId="0" fillId="10" fontId="9" numFmtId="0" xfId="0" applyAlignment="1" applyFont="1">
      <alignment horizontal="center" readingOrder="0"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readingOrder="0"/>
    </xf>
    <xf borderId="0" fillId="3" fontId="3" numFmtId="4" xfId="0" applyAlignment="1" applyFont="1" applyNumberFormat="1">
      <alignment readingOrder="0"/>
    </xf>
    <xf borderId="0" fillId="3" fontId="3" numFmtId="10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4" xfId="0" applyAlignment="1" applyFont="1" applyNumberFormat="1">
      <alignment readingOrder="0"/>
    </xf>
    <xf borderId="0" fillId="5" fontId="3" numFmtId="10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" xfId="0" applyFont="1" applyNumberFormat="1"/>
    <xf borderId="0" fillId="4" fontId="3" numFmtId="0" xfId="0" applyAlignment="1" applyFont="1">
      <alignment readingOrder="0"/>
    </xf>
    <xf borderId="0" fillId="0" fontId="18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3" numFmtId="4" xfId="0" applyAlignment="1" applyFont="1" applyNumberFormat="1">
      <alignment readingOrder="0"/>
    </xf>
    <xf borderId="0" fillId="5" fontId="3" numFmtId="10" xfId="0" applyAlignment="1" applyFont="1" applyNumberFormat="1">
      <alignment readingOrder="0"/>
    </xf>
    <xf borderId="0" fillId="4" fontId="9" numFmtId="0" xfId="0" applyFont="1"/>
    <xf borderId="0" fillId="5" fontId="18" numFmtId="0" xfId="0" applyAlignment="1" applyFont="1">
      <alignment readingOrder="0"/>
    </xf>
    <xf borderId="0" fillId="0" fontId="25" numFmtId="0" xfId="0" applyAlignment="1" applyFont="1">
      <alignment readingOrder="0"/>
    </xf>
    <xf borderId="0" fillId="3" fontId="27" numFmtId="0" xfId="0" applyAlignment="1" applyFont="1">
      <alignment horizontal="right" vertical="bottom"/>
    </xf>
    <xf borderId="0" fillId="3" fontId="3" numFmtId="0" xfId="0" applyAlignment="1" applyFont="1">
      <alignment horizontal="left" readingOrder="0" vertical="top"/>
    </xf>
    <xf borderId="0" fillId="3" fontId="19" numFmtId="0" xfId="0" applyAlignment="1" applyFont="1">
      <alignment horizontal="right" readingOrder="0" vertical="bottom"/>
    </xf>
    <xf borderId="0" fillId="4" fontId="3" numFmtId="0" xfId="0" applyAlignment="1" applyFont="1">
      <alignment readingOrder="0" vertical="top"/>
    </xf>
    <xf borderId="0" fillId="3" fontId="2" numFmtId="0" xfId="0" applyAlignment="1" applyFont="1">
      <alignment horizontal="left" readingOrder="0" vertical="top"/>
    </xf>
    <xf borderId="0" fillId="3" fontId="6" numFmtId="0" xfId="0" applyAlignment="1" applyFont="1">
      <alignment horizontal="left" readingOrder="0" vertical="top"/>
    </xf>
    <xf borderId="0" fillId="6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right" vertical="bottom"/>
    </xf>
    <xf borderId="0" fillId="6" fontId="2" numFmtId="1" xfId="0" applyAlignment="1" applyFont="1" applyNumberFormat="1">
      <alignment horizontal="right" readingOrder="0"/>
    </xf>
    <xf borderId="0" fillId="6" fontId="2" numFmtId="1" xfId="0" applyAlignment="1" applyFont="1" applyNumberFormat="1">
      <alignment readingOrder="0"/>
    </xf>
    <xf borderId="0" fillId="6" fontId="3" numFmtId="1" xfId="0" applyAlignment="1" applyFont="1" applyNumberFormat="1">
      <alignment readingOrder="0"/>
    </xf>
    <xf borderId="0" fillId="6" fontId="19" numFmtId="0" xfId="0" applyAlignment="1" applyFont="1">
      <alignment horizontal="left" readingOrder="0" shrinkToFit="0" vertical="top" wrapText="0"/>
    </xf>
    <xf borderId="0" fillId="11" fontId="4" numFmtId="0" xfId="0" applyAlignment="1" applyFill="1" applyFont="1">
      <alignment horizontal="center" readingOrder="0" vertical="bottom"/>
    </xf>
    <xf borderId="0" fillId="4" fontId="19" numFmtId="0" xfId="0" applyAlignment="1" applyFont="1">
      <alignment horizontal="left" readingOrder="0" shrinkToFit="0" vertical="top" wrapText="0"/>
    </xf>
    <xf borderId="0" fillId="10" fontId="19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19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center"/>
    </xf>
    <xf borderId="0" fillId="11" fontId="2" numFmtId="0" xfId="0" applyAlignment="1" applyFont="1">
      <alignment horizontal="center" readingOrder="0"/>
    </xf>
    <xf borderId="0" fillId="0" fontId="3" numFmtId="1" xfId="0" applyFont="1" applyNumberFormat="1"/>
    <xf borderId="0" fillId="0" fontId="31" numFmtId="0" xfId="0" applyAlignment="1" applyFont="1">
      <alignment readingOrder="0" vertical="center"/>
    </xf>
    <xf borderId="0" fillId="11" fontId="31" numFmtId="0" xfId="0" applyAlignment="1" applyFont="1">
      <alignment horizontal="center" readingOrder="0"/>
    </xf>
    <xf borderId="0" fillId="10" fontId="3" numFmtId="0" xfId="0" applyAlignment="1" applyFont="1">
      <alignment horizontal="center" readingOrder="0"/>
    </xf>
    <xf borderId="0" fillId="12" fontId="3" numFmtId="0" xfId="0" applyAlignment="1" applyFont="1">
      <alignment horizontal="center" readingOrder="0"/>
    </xf>
    <xf borderId="0" fillId="13" fontId="3" numFmtId="0" xfId="0" applyAlignment="1" applyFont="1">
      <alignment horizontal="center" readingOrder="0"/>
    </xf>
    <xf borderId="0" fillId="10" fontId="5" numFmtId="0" xfId="0" applyAlignment="1" applyFont="1">
      <alignment vertical="bottom"/>
    </xf>
    <xf borderId="0" fillId="12" fontId="5" numFmtId="0" xfId="0" applyAlignment="1" applyFont="1">
      <alignment vertical="bottom"/>
    </xf>
    <xf borderId="0" fillId="13" fontId="5" numFmtId="0" xfId="0" applyAlignment="1" applyFont="1">
      <alignment vertical="bottom"/>
    </xf>
    <xf borderId="0" fillId="6" fontId="9" numFmtId="0" xfId="0" applyAlignment="1" applyFont="1">
      <alignment readingOrder="0"/>
    </xf>
    <xf borderId="0" fillId="11" fontId="4" numFmtId="0" xfId="0" applyAlignment="1" applyFont="1">
      <alignment horizontal="center" vertical="bottom"/>
    </xf>
    <xf borderId="0" fillId="6" fontId="19" numFmtId="0" xfId="0" applyAlignment="1" applyFont="1">
      <alignment horizontal="right" readingOrder="0" vertical="bottom"/>
    </xf>
    <xf borderId="0" fillId="0" fontId="5" numFmtId="1" xfId="0" applyAlignment="1" applyFont="1" applyNumberFormat="1">
      <alignment vertical="bottom"/>
    </xf>
    <xf borderId="0" fillId="6" fontId="18" numFmtId="0" xfId="0" applyAlignment="1" applyFont="1">
      <alignment readingOrder="0"/>
    </xf>
    <xf borderId="0" fillId="12" fontId="5" numFmtId="0" xfId="0" applyAlignment="1" applyFont="1">
      <alignment vertical="bottom"/>
    </xf>
    <xf borderId="0" fillId="13" fontId="5" numFmtId="0" xfId="0" applyAlignment="1" applyFont="1">
      <alignment vertical="bottom"/>
    </xf>
    <xf borderId="0" fillId="4" fontId="5" numFmtId="0" xfId="0" applyAlignment="1" applyFont="1">
      <alignment horizontal="right" readingOrder="0" vertical="bottom"/>
    </xf>
    <xf borderId="0" fillId="0" fontId="3" numFmtId="1" xfId="0" applyAlignment="1" applyFont="1" applyNumberFormat="1">
      <alignment horizontal="right" readingOrder="0"/>
    </xf>
    <xf borderId="0" fillId="0" fontId="2" numFmtId="1" xfId="0" applyAlignment="1" applyFont="1" applyNumberFormat="1">
      <alignment horizontal="right" readingOrder="0"/>
    </xf>
    <xf borderId="0" fillId="0" fontId="2" numFmtId="1" xfId="0" applyAlignment="1" applyFont="1" applyNumberFormat="1">
      <alignment readingOrder="0"/>
    </xf>
    <xf borderId="0" fillId="0" fontId="32" numFmtId="0" xfId="0" applyAlignment="1" applyFont="1">
      <alignment horizontal="center" readingOrder="0"/>
    </xf>
    <xf borderId="0" fillId="0" fontId="3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4">
    <tableStyle count="2" pivot="0" name="Аэрофлот-style">
      <tableStyleElement dxfId="1" type="firstRowStripe"/>
      <tableStyleElement dxfId="2" type="secondRowStripe"/>
    </tableStyle>
    <tableStyle count="3" pivot="0" name="Аэрофлот-style 2">
      <tableStyleElement dxfId="3" type="headerRow"/>
      <tableStyleElement dxfId="2" type="firstRowStripe"/>
      <tableStyleElement dxfId="1" type="secondRowStripe"/>
    </tableStyle>
    <tableStyle count="3" pivot="0" name="Аэрофлот-style 3">
      <tableStyleElement dxfId="3" type="headerRow"/>
      <tableStyleElement dxfId="2" type="firstRowStripe"/>
      <tableStyleElement dxfId="1" type="secondRowStripe"/>
    </tableStyle>
    <tableStyle count="3" pivot="0" name="Аэрофлот-style 4">
      <tableStyleElement dxfId="3" type="headerRow"/>
      <tableStyleElement dxfId="2" type="firstRowStripe"/>
      <tableStyleElement dxfId="1" type="secondRowStripe"/>
    </tableStyle>
    <tableStyle count="3" pivot="0" name="Аэрофлот-style 5">
      <tableStyleElement dxfId="3" type="headerRow"/>
      <tableStyleElement dxfId="2" type="firstRowStripe"/>
      <tableStyleElement dxfId="1" type="secondRowStripe"/>
    </tableStyle>
    <tableStyle count="2" pivot="0" name="TurkishAirlines-style">
      <tableStyleElement dxfId="1" type="firstRowStripe"/>
      <tableStyleElement dxfId="2" type="secondRowStripe"/>
    </tableStyle>
    <tableStyle count="2" pivot="0" name="TurkishAirlines-style 2">
      <tableStyleElement dxfId="2" type="firstRowStripe"/>
      <tableStyleElement dxfId="1" type="secondRowStripe"/>
    </tableStyle>
    <tableStyle count="3" pivot="0" name="Ютэер-style">
      <tableStyleElement dxfId="3" type="headerRow"/>
      <tableStyleElement dxfId="2" type="firstRowStripe"/>
      <tableStyleElement dxfId="1" type="secondRowStripe"/>
    </tableStyle>
    <tableStyle count="3" pivot="0" name="Ютэер-style 2">
      <tableStyleElement dxfId="3" type="headerRow"/>
      <tableStyleElement dxfId="2" type="firstRowStripe"/>
      <tableStyleElement dxfId="1" type="secondRowStripe"/>
    </tableStyle>
    <tableStyle count="3" pivot="0" name="Ютэер-style 3">
      <tableStyleElement dxfId="3" type="headerRow"/>
      <tableStyleElement dxfId="2" type="firstRowStripe"/>
      <tableStyleElement dxfId="1" type="secondRowStripe"/>
    </tableStyle>
    <tableStyle count="3" pivot="0" name="Ютэер-style 4">
      <tableStyleElement dxfId="3" type="headerRow"/>
      <tableStyleElement dxfId="2" type="firstRowStripe"/>
      <tableStyleElement dxfId="1" type="secondRowStripe"/>
    </tableStyle>
    <tableStyle count="2" pivot="0" name="Ютэер-style 5">
      <tableStyleElement dxfId="2" type="firstRowStripe"/>
      <tableStyleElement dxfId="1" type="secondRowStripe"/>
    </tableStyle>
    <tableStyle count="2" pivot="0" name="Метрики-style">
      <tableStyleElement dxfId="2" type="firstRowStripe"/>
      <tableStyleElement dxfId="1" type="secondRowStripe"/>
    </tableStyle>
    <tableStyle count="2" pivot="0" name="Метрики-style 2">
      <tableStyleElement dxfId="2" type="firstRowStripe"/>
      <tableStyleElement dxfId="1" type="secondRowStripe"/>
    </tableStyle>
    <tableStyle count="3" pivot="0" name="Горизонтальный анализ-style">
      <tableStyleElement dxfId="3" type="headerRow"/>
      <tableStyleElement dxfId="2" type="firstRowStripe"/>
      <tableStyleElement dxfId="1" type="secondRowStripe"/>
    </tableStyle>
    <tableStyle count="3" pivot="0" name="Горизонтальный анализ-style 2">
      <tableStyleElement dxfId="3" type="headerRow"/>
      <tableStyleElement dxfId="2" type="firstRowStripe"/>
      <tableStyleElement dxfId="1" type="secondRowStripe"/>
    </tableStyle>
    <tableStyle count="3" pivot="0" name="Горизонтальный анализ-style 3">
      <tableStyleElement dxfId="3" type="headerRow"/>
      <tableStyleElement dxfId="2" type="firstRowStripe"/>
      <tableStyleElement dxfId="1" type="secondRowStripe"/>
    </tableStyle>
    <tableStyle count="3" pivot="0" name="Горизонтальный анализ-style 4">
      <tableStyleElement dxfId="3" type="headerRow"/>
      <tableStyleElement dxfId="2" type="firstRowStripe"/>
      <tableStyleElement dxfId="1" type="secondRowStripe"/>
    </tableStyle>
    <tableStyle count="3" pivot="0" name="Горизонтальный анализ-style 5">
      <tableStyleElement dxfId="3" type="headerRow"/>
      <tableStyleElement dxfId="2" type="firstRowStripe"/>
      <tableStyleElement dxfId="1" type="secondRowStripe"/>
    </tableStyle>
    <tableStyle count="2" pivot="0" name="Графики-style">
      <tableStyleElement dxfId="1" type="firstRowStripe"/>
      <tableStyleElement dxfId="2" type="secondRowStripe"/>
    </tableStyle>
    <tableStyle count="2" pivot="0" name="Графики-style 2">
      <tableStyleElement dxfId="1" type="firstRowStripe"/>
      <tableStyleElement dxfId="2" type="secondRowStripe"/>
    </tableStyle>
    <tableStyle count="2" pivot="0" name="Графики-style 3">
      <tableStyleElement dxfId="1" type="firstRowStripe"/>
      <tableStyleElement dxfId="2" type="secondRowStripe"/>
    </tableStyle>
    <tableStyle count="2" pivot="0" name="Графики-style 4">
      <tableStyleElement dxfId="2" type="firstRowStripe"/>
      <tableStyleElement dxfId="1" type="secondRowStripe"/>
    </tableStyle>
    <tableStyle count="2" pivot="0" name="Графики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Темпы роста капитала Аэрофлота относительно базового года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'Горизонтальный анализ'!$V$25:$V$26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анализ'!$V$27:$V$29</c:f>
              <c:numCache/>
            </c:numRef>
          </c:val>
          <c:smooth val="0"/>
        </c:ser>
        <c:ser>
          <c:idx val="1"/>
          <c:order val="1"/>
          <c:tx>
            <c:strRef>
              <c:f>'Горизонтальный анализ'!$W$25:$W$26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анализ'!$W$27:$W$29</c:f>
              <c:numCache/>
            </c:numRef>
          </c:val>
          <c:smooth val="0"/>
        </c:ser>
        <c:ser>
          <c:idx val="2"/>
          <c:order val="2"/>
          <c:tx>
            <c:strRef>
              <c:f>'Горизонтальный анализ'!$X$25:$X$26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анализ'!$X$27:$X$29</c:f>
              <c:numCache/>
            </c:numRef>
          </c:val>
          <c:smooth val="0"/>
        </c:ser>
        <c:ser>
          <c:idx val="3"/>
          <c:order val="3"/>
          <c:tx>
            <c:strRef>
              <c:f>'Горизонтальный анализ'!$Y$25:$Y$26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анализ'!$Y$27:$Y$29</c:f>
              <c:numCache/>
            </c:numRef>
          </c:val>
          <c:smooth val="0"/>
        </c:ser>
        <c:axId val="555753023"/>
        <c:axId val="2052000542"/>
      </c:lineChart>
      <c:catAx>
        <c:axId val="555753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000542"/>
      </c:catAx>
      <c:valAx>
        <c:axId val="2052000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753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66666"/>
                </a:solidFill>
                <a:latin typeface="Arial"/>
              </a:defRPr>
            </a:pPr>
            <a:r>
              <a:rPr b="0">
                <a:solidFill>
                  <a:srgbClr val="666666"/>
                </a:solidFill>
                <a:latin typeface="Arial"/>
              </a:rPr>
              <a:t>Выручка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'Графики'!$B$8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'Графики'!$A$9:$A$12</c:f>
            </c:strRef>
          </c:cat>
          <c:val>
            <c:numRef>
              <c:f>'Графики'!$B$9:$B$12</c:f>
              <c:numCache/>
            </c:numRef>
          </c:val>
          <c:smooth val="1"/>
        </c:ser>
        <c:ser>
          <c:idx val="1"/>
          <c:order val="1"/>
          <c:tx>
            <c:strRef>
              <c:f>'Графики'!$C$8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'Графики'!$A$9:$A$12</c:f>
            </c:strRef>
          </c:cat>
          <c:val>
            <c:numRef>
              <c:f>'Графики'!$C$9:$C$12</c:f>
              <c:numCache/>
            </c:numRef>
          </c:val>
          <c:smooth val="1"/>
        </c:ser>
        <c:ser>
          <c:idx val="2"/>
          <c:order val="2"/>
          <c:tx>
            <c:strRef>
              <c:f>'Графики'!$D$8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'Графики'!$A$9:$A$12</c:f>
            </c:strRef>
          </c:cat>
          <c:val>
            <c:numRef>
              <c:f>'Графики'!$D$9:$D$12</c:f>
              <c:numCache/>
            </c:numRef>
          </c:val>
          <c:smooth val="1"/>
        </c:ser>
        <c:axId val="745930259"/>
        <c:axId val="1635197786"/>
      </c:lineChart>
      <c:catAx>
        <c:axId val="745930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197786"/>
      </c:catAx>
      <c:valAx>
        <c:axId val="1635197786"/>
        <c:scaling>
          <c:orientation val="minMax"/>
          <c:max val="1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трлн.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930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Темп роста выручки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'Графики'!$B$26:$B$27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'Графики'!$A$28:$A$30</c:f>
            </c:strRef>
          </c:cat>
          <c:val>
            <c:numRef>
              <c:f>'Графики'!$B$28:$B$30</c:f>
              <c:numCache/>
            </c:numRef>
          </c:val>
          <c:smooth val="1"/>
        </c:ser>
        <c:ser>
          <c:idx val="1"/>
          <c:order val="1"/>
          <c:tx>
            <c:strRef>
              <c:f>'Графики'!$C$26:$C$27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'Графики'!$A$28:$A$30</c:f>
            </c:strRef>
          </c:cat>
          <c:val>
            <c:numRef>
              <c:f>'Графики'!$C$28:$C$30</c:f>
              <c:numCache/>
            </c:numRef>
          </c:val>
          <c:smooth val="1"/>
        </c:ser>
        <c:ser>
          <c:idx val="2"/>
          <c:order val="2"/>
          <c:tx>
            <c:strRef>
              <c:f>'Графики'!$D$26:$D$27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'Графики'!$A$28:$A$30</c:f>
            </c:strRef>
          </c:cat>
          <c:val>
            <c:numRef>
              <c:f>'Графики'!$D$28:$D$30</c:f>
              <c:numCache/>
            </c:numRef>
          </c:val>
          <c:smooth val="1"/>
        </c:ser>
        <c:axId val="1424730113"/>
        <c:axId val="1763208514"/>
      </c:lineChart>
      <c:catAx>
        <c:axId val="1424730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208514"/>
      </c:catAx>
      <c:valAx>
        <c:axId val="1763208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730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Темп роста активов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'Графики'!$B$52:$B$53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'Графики'!$A$54:$A$56</c:f>
            </c:strRef>
          </c:cat>
          <c:val>
            <c:numRef>
              <c:f>'Графики'!$B$54:$B$56</c:f>
              <c:numCache/>
            </c:numRef>
          </c:val>
          <c:smooth val="1"/>
        </c:ser>
        <c:ser>
          <c:idx val="1"/>
          <c:order val="1"/>
          <c:tx>
            <c:strRef>
              <c:f>'Графики'!$C$52:$C$53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'Графики'!$A$54:$A$56</c:f>
            </c:strRef>
          </c:cat>
          <c:val>
            <c:numRef>
              <c:f>'Графики'!$C$54:$C$56</c:f>
              <c:numCache/>
            </c:numRef>
          </c:val>
          <c:smooth val="1"/>
        </c:ser>
        <c:ser>
          <c:idx val="2"/>
          <c:order val="2"/>
          <c:tx>
            <c:strRef>
              <c:f>'Графики'!$D$52:$D$53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'Графики'!$A$54:$A$56</c:f>
            </c:strRef>
          </c:cat>
          <c:val>
            <c:numRef>
              <c:f>'Графики'!$D$54:$D$56</c:f>
              <c:numCache/>
            </c:numRef>
          </c:val>
          <c:smooth val="1"/>
        </c:ser>
        <c:axId val="1066807799"/>
        <c:axId val="1971450993"/>
      </c:lineChart>
      <c:catAx>
        <c:axId val="1066807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450993"/>
      </c:catAx>
      <c:valAx>
        <c:axId val="1971450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807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Темп роста чистой прибыли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'Графики'!$B$72:$B$73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'Графики'!$A$74:$A$76</c:f>
            </c:strRef>
          </c:cat>
          <c:val>
            <c:numRef>
              <c:f>'Графики'!$B$74:$B$76</c:f>
              <c:numCache/>
            </c:numRef>
          </c:val>
          <c:smooth val="1"/>
        </c:ser>
        <c:ser>
          <c:idx val="1"/>
          <c:order val="1"/>
          <c:tx>
            <c:strRef>
              <c:f>'Графики'!$C$72:$C$73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'Графики'!$A$74:$A$76</c:f>
            </c:strRef>
          </c:cat>
          <c:val>
            <c:numRef>
              <c:f>'Графики'!$C$74:$C$76</c:f>
              <c:numCache/>
            </c:numRef>
          </c:val>
          <c:smooth val="1"/>
        </c:ser>
        <c:ser>
          <c:idx val="2"/>
          <c:order val="2"/>
          <c:tx>
            <c:strRef>
              <c:f>'Графики'!$D$72:$D$73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'Графики'!$A$74:$A$76</c:f>
            </c:strRef>
          </c:cat>
          <c:val>
            <c:numRef>
              <c:f>'Графики'!$D$74:$D$76</c:f>
              <c:numCache/>
            </c:numRef>
          </c:val>
          <c:smooth val="1"/>
        </c:ser>
        <c:axId val="50260348"/>
        <c:axId val="2078317275"/>
      </c:lineChart>
      <c:catAx>
        <c:axId val="50260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317275"/>
      </c:catAx>
      <c:valAx>
        <c:axId val="2078317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60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Заёмные средства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'Графики'!$O$43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'Графики'!$N$44:$N$47</c:f>
            </c:strRef>
          </c:cat>
          <c:val>
            <c:numRef>
              <c:f>'Графики'!$O$44:$O$47</c:f>
              <c:numCache/>
            </c:numRef>
          </c:val>
          <c:smooth val="1"/>
        </c:ser>
        <c:ser>
          <c:idx val="1"/>
          <c:order val="1"/>
          <c:tx>
            <c:strRef>
              <c:f>'Графики'!$P$43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'Графики'!$N$44:$N$47</c:f>
            </c:strRef>
          </c:cat>
          <c:val>
            <c:numRef>
              <c:f>'Графики'!$P$44:$P$47</c:f>
              <c:numCache/>
            </c:numRef>
          </c:val>
          <c:smooth val="1"/>
        </c:ser>
        <c:ser>
          <c:idx val="2"/>
          <c:order val="2"/>
          <c:tx>
            <c:strRef>
              <c:f>'Графики'!$Q$43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'Графики'!$N$44:$N$47</c:f>
            </c:strRef>
          </c:cat>
          <c:val>
            <c:numRef>
              <c:f>'Графики'!$Q$44:$Q$47</c:f>
              <c:numCache/>
            </c:numRef>
          </c:val>
          <c:smooth val="1"/>
        </c:ser>
        <c:axId val="1071222753"/>
        <c:axId val="182774414"/>
      </c:lineChart>
      <c:catAx>
        <c:axId val="1071222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74414"/>
      </c:catAx>
      <c:valAx>
        <c:axId val="182774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млрд.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222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Собственный капитал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'Графики'!$W$43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'Графики'!$V$44:$V$47</c:f>
            </c:strRef>
          </c:cat>
          <c:val>
            <c:numRef>
              <c:f>'Графики'!$W$44:$W$47</c:f>
              <c:numCache/>
            </c:numRef>
          </c:val>
          <c:smooth val="0"/>
        </c:ser>
        <c:ser>
          <c:idx val="1"/>
          <c:order val="1"/>
          <c:tx>
            <c:strRef>
              <c:f>'Графики'!$X$43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'Графики'!$V$44:$V$47</c:f>
            </c:strRef>
          </c:cat>
          <c:val>
            <c:numRef>
              <c:f>'Графики'!$X$44:$X$47</c:f>
              <c:numCache/>
            </c:numRef>
          </c:val>
          <c:smooth val="0"/>
        </c:ser>
        <c:ser>
          <c:idx val="2"/>
          <c:order val="2"/>
          <c:tx>
            <c:strRef>
              <c:f>'Графики'!$Y$43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'Графики'!$V$44:$V$47</c:f>
            </c:strRef>
          </c:cat>
          <c:val>
            <c:numRef>
              <c:f>'Графики'!$Y$44:$Y$47</c:f>
              <c:numCache/>
            </c:numRef>
          </c:val>
          <c:smooth val="0"/>
        </c:ser>
        <c:axId val="417522568"/>
        <c:axId val="1478922098"/>
      </c:lineChart>
      <c:catAx>
        <c:axId val="41752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Собственный капитал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922098"/>
      </c:catAx>
      <c:valAx>
        <c:axId val="1478922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млрд.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522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Чистая прибыль/убыток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'Графики'!$B$66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'Графики'!$A$67:$A$70</c:f>
            </c:strRef>
          </c:cat>
          <c:val>
            <c:numRef>
              <c:f>'Графики'!$B$67:$B$70</c:f>
              <c:numCache/>
            </c:numRef>
          </c:val>
          <c:smooth val="1"/>
        </c:ser>
        <c:ser>
          <c:idx val="1"/>
          <c:order val="1"/>
          <c:tx>
            <c:strRef>
              <c:f>'Графики'!$C$66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'Графики'!$A$67:$A$70</c:f>
            </c:strRef>
          </c:cat>
          <c:val>
            <c:numRef>
              <c:f>'Графики'!$C$67:$C$70</c:f>
              <c:numCache/>
            </c:numRef>
          </c:val>
          <c:smooth val="1"/>
        </c:ser>
        <c:ser>
          <c:idx val="2"/>
          <c:order val="2"/>
          <c:tx>
            <c:strRef>
              <c:f>'Графики'!$D$66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'Графики'!$A$67:$A$70</c:f>
            </c:strRef>
          </c:cat>
          <c:val>
            <c:numRef>
              <c:f>'Графики'!$D$67:$D$70</c:f>
              <c:numCache/>
            </c:numRef>
          </c:val>
          <c:smooth val="1"/>
        </c:ser>
        <c:axId val="1043047048"/>
        <c:axId val="945251272"/>
      </c:lineChart>
      <c:catAx>
        <c:axId val="1043047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251272"/>
      </c:catAx>
      <c:valAx>
        <c:axId val="945251272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млрд.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047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Денежные средства и их эквиваленты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'Графики'!$B$96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'Графики'!$A$97:$A$100</c:f>
            </c:strRef>
          </c:cat>
          <c:val>
            <c:numRef>
              <c:f>'Графики'!$B$97:$B$100</c:f>
              <c:numCache/>
            </c:numRef>
          </c:val>
        </c:ser>
        <c:ser>
          <c:idx val="1"/>
          <c:order val="1"/>
          <c:tx>
            <c:strRef>
              <c:f>'Графики'!$C$96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'Графики'!$A$97:$A$100</c:f>
            </c:strRef>
          </c:cat>
          <c:val>
            <c:numRef>
              <c:f>'Графики'!$C$97:$C$100</c:f>
              <c:numCache/>
            </c:numRef>
          </c:val>
        </c:ser>
        <c:ser>
          <c:idx val="2"/>
          <c:order val="2"/>
          <c:tx>
            <c:strRef>
              <c:f>'Графики'!$D$96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'Графики'!$A$97:$A$100</c:f>
            </c:strRef>
          </c:cat>
          <c:val>
            <c:numRef>
              <c:f>'Графики'!$D$97:$D$100</c:f>
              <c:numCache/>
            </c:numRef>
          </c:val>
        </c:ser>
        <c:ser>
          <c:idx val="3"/>
          <c:order val="3"/>
          <c:tx>
            <c:strRef>
              <c:f>'Графики'!$E$96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'Графики'!$A$97:$A$100</c:f>
            </c:strRef>
          </c:cat>
          <c:val>
            <c:numRef>
              <c:f>'Графики'!$E$97:$E$100</c:f>
              <c:numCache/>
            </c:numRef>
          </c:val>
        </c:ser>
        <c:axId val="1451833422"/>
        <c:axId val="912366332"/>
      </c:barChart>
      <c:catAx>
        <c:axId val="1451833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366332"/>
      </c:catAx>
      <c:valAx>
        <c:axId val="912366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Млн руб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833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Изменения в структуре капитала Аэрофлота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'Графики'!$B$102:$B$103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'Графики'!$A$104:$A$107</c:f>
            </c:strRef>
          </c:cat>
          <c:val>
            <c:numRef>
              <c:f>'Графики'!$B$104:$B$107</c:f>
              <c:numCache/>
            </c:numRef>
          </c:val>
        </c:ser>
        <c:ser>
          <c:idx val="1"/>
          <c:order val="1"/>
          <c:tx>
            <c:strRef>
              <c:f>'Графики'!$C$102:$C$103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'Графики'!$A$104:$A$107</c:f>
            </c:strRef>
          </c:cat>
          <c:val>
            <c:numRef>
              <c:f>'Графики'!$C$104:$C$107</c:f>
              <c:numCache/>
            </c:numRef>
          </c:val>
        </c:ser>
        <c:ser>
          <c:idx val="2"/>
          <c:order val="2"/>
          <c:tx>
            <c:strRef>
              <c:f>'Графики'!$D$102:$D$103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'Графики'!$A$104:$A$107</c:f>
            </c:strRef>
          </c:cat>
          <c:val>
            <c:numRef>
              <c:f>'Графики'!$D$104:$D$107</c:f>
              <c:numCache/>
            </c:numRef>
          </c:val>
        </c:ser>
        <c:ser>
          <c:idx val="3"/>
          <c:order val="3"/>
          <c:tx>
            <c:strRef>
              <c:f>'Графики'!$E$102:$E$103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'Графики'!$A$104:$A$107</c:f>
            </c:strRef>
          </c:cat>
          <c:val>
            <c:numRef>
              <c:f>'Графики'!$E$104:$E$107</c:f>
              <c:numCache/>
            </c:numRef>
          </c:val>
        </c:ser>
        <c:axId val="1390433196"/>
        <c:axId val="1172137706"/>
      </c:barChart>
      <c:catAx>
        <c:axId val="13904331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137706"/>
      </c:catAx>
      <c:valAx>
        <c:axId val="11721377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Млн руб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4331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Темпы роста капитала Аэрофлота относительно базового года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'Горизонтальный анализ'!$V$25:$V$26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анализ'!$V$27:$V$29</c:f>
              <c:numCache/>
            </c:numRef>
          </c:val>
          <c:smooth val="0"/>
        </c:ser>
        <c:ser>
          <c:idx val="1"/>
          <c:order val="1"/>
          <c:tx>
            <c:strRef>
              <c:f>'Горизонтальный анализ'!$W$25:$W$26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анализ'!$W$27:$W$29</c:f>
              <c:numCache/>
            </c:numRef>
          </c:val>
          <c:smooth val="0"/>
        </c:ser>
        <c:ser>
          <c:idx val="2"/>
          <c:order val="2"/>
          <c:tx>
            <c:strRef>
              <c:f>'Горизонтальный анализ'!$X$25:$X$26</c:f>
            </c:strRef>
          </c:tx>
          <c:spPr>
            <a:ln cmpd="sng" w="19050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анализ'!$X$27:$X$29</c:f>
              <c:numCache/>
            </c:numRef>
          </c:val>
          <c:smooth val="0"/>
        </c:ser>
        <c:ser>
          <c:idx val="3"/>
          <c:order val="3"/>
          <c:tx>
            <c:strRef>
              <c:f>'Горизонтальный анализ'!$Y$25:$Y$26</c:f>
            </c:strRef>
          </c:tx>
          <c:spPr>
            <a:ln cmpd="sng" w="19050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'Горизонтальный анализ'!$U$27:$U$29</c:f>
            </c:strRef>
          </c:cat>
          <c:val>
            <c:numRef>
              <c:f>'Горизонтальный анализ'!$Y$27:$Y$29</c:f>
              <c:numCache/>
            </c:numRef>
          </c:val>
          <c:smooth val="0"/>
        </c:ser>
        <c:axId val="241677619"/>
        <c:axId val="1509832591"/>
      </c:lineChart>
      <c:catAx>
        <c:axId val="241677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832591"/>
      </c:catAx>
      <c:valAx>
        <c:axId val="1509832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677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Активы Аэрофлота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'Графики'!$B$44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'Графики'!$A$45:$A$48</c:f>
            </c:strRef>
          </c:cat>
          <c:val>
            <c:numRef>
              <c:f>'Графики'!$B$45:$B$48</c:f>
              <c:numCache/>
            </c:numRef>
          </c:val>
        </c:ser>
        <c:axId val="135115059"/>
        <c:axId val="1162530355"/>
      </c:barChart>
      <c:catAx>
        <c:axId val="135115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Годы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530355"/>
      </c:catAx>
      <c:valAx>
        <c:axId val="1162530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Млн руб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15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Изменения в структуре обязательств аэрофлота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'Графики'!$B$109:$B$110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'Графики'!$A$111:$A$114</c:f>
            </c:strRef>
          </c:cat>
          <c:val>
            <c:numRef>
              <c:f>'Графики'!$B$111:$B$114</c:f>
              <c:numCache/>
            </c:numRef>
          </c:val>
        </c:ser>
        <c:ser>
          <c:idx val="1"/>
          <c:order val="1"/>
          <c:tx>
            <c:strRef>
              <c:f>'Графики'!$C$109:$C$110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'Графики'!$A$111:$A$114</c:f>
            </c:strRef>
          </c:cat>
          <c:val>
            <c:numRef>
              <c:f>'Графики'!$C$111:$C$114</c:f>
              <c:numCache/>
            </c:numRef>
          </c:val>
        </c:ser>
        <c:ser>
          <c:idx val="2"/>
          <c:order val="2"/>
          <c:tx>
            <c:strRef>
              <c:f>'Графики'!$D$109:$D$110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'Графики'!$A$111:$A$114</c:f>
            </c:strRef>
          </c:cat>
          <c:val>
            <c:numRef>
              <c:f>'Графики'!$D$111:$D$114</c:f>
              <c:numCache/>
            </c:numRef>
          </c:val>
        </c:ser>
        <c:ser>
          <c:idx val="3"/>
          <c:order val="3"/>
          <c:tx>
            <c:strRef>
              <c:f>'Графики'!$E$109:$E$110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'Графики'!$A$111:$A$114</c:f>
            </c:strRef>
          </c:cat>
          <c:val>
            <c:numRef>
              <c:f>'Графики'!$E$111:$E$114</c:f>
              <c:numCache/>
            </c:numRef>
          </c:val>
        </c:ser>
        <c:ser>
          <c:idx val="4"/>
          <c:order val="4"/>
          <c:tx>
            <c:strRef>
              <c:f>'Графики'!$F$109:$F$110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'Графики'!$A$111:$A$114</c:f>
            </c:strRef>
          </c:cat>
          <c:val>
            <c:numRef>
              <c:f>'Графики'!$F$111:$F$114</c:f>
              <c:numCache/>
            </c:numRef>
          </c:val>
        </c:ser>
        <c:ser>
          <c:idx val="5"/>
          <c:order val="5"/>
          <c:tx>
            <c:strRef>
              <c:f>'Графики'!$G$109:$G$110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'Графики'!$A$111:$A$114</c:f>
            </c:strRef>
          </c:cat>
          <c:val>
            <c:numRef>
              <c:f>'Графики'!$G$111:$G$114</c:f>
              <c:numCache/>
            </c:numRef>
          </c:val>
        </c:ser>
        <c:axId val="130990619"/>
        <c:axId val="937160315"/>
      </c:barChart>
      <c:catAx>
        <c:axId val="130990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Год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160315"/>
      </c:catAx>
      <c:valAx>
        <c:axId val="937160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Млрд руб.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90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2.xml"/><Relationship Id="rId10" Type="http://schemas.openxmlformats.org/officeDocument/2006/relationships/chart" Target="../charts/chart11.xml"/><Relationship Id="rId13" Type="http://schemas.openxmlformats.org/officeDocument/2006/relationships/image" Target="../media/image1.png"/><Relationship Id="rId12" Type="http://schemas.openxmlformats.org/officeDocument/2006/relationships/chart" Target="../charts/chart13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5" Type="http://schemas.openxmlformats.org/officeDocument/2006/relationships/image" Target="../media/image3.png"/><Relationship Id="rId14" Type="http://schemas.openxmlformats.org/officeDocument/2006/relationships/image" Target="../media/image2.png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342900</xdr:colOff>
      <xdr:row>32</xdr:row>
      <xdr:rowOff>47625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676275</xdr:colOff>
      <xdr:row>1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904875</xdr:colOff>
      <xdr:row>20</xdr:row>
      <xdr:rowOff>114300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904875</xdr:colOff>
      <xdr:row>40</xdr:row>
      <xdr:rowOff>171450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676275</xdr:colOff>
      <xdr:row>69</xdr:row>
      <xdr:rowOff>38100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28575</xdr:colOff>
      <xdr:row>47</xdr:row>
      <xdr:rowOff>95250</xdr:rowOff>
    </xdr:from>
    <xdr:ext cx="5810250" cy="35718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95250</xdr:colOff>
      <xdr:row>47</xdr:row>
      <xdr:rowOff>95250</xdr:rowOff>
    </xdr:from>
    <xdr:ext cx="5810250" cy="35718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2724150</xdr:colOff>
      <xdr:row>69</xdr:row>
      <xdr:rowOff>38100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381000</xdr:colOff>
      <xdr:row>93</xdr:row>
      <xdr:rowOff>38100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381000</xdr:colOff>
      <xdr:row>111</xdr:row>
      <xdr:rowOff>190500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12</xdr:col>
      <xdr:colOff>628650</xdr:colOff>
      <xdr:row>111</xdr:row>
      <xdr:rowOff>152400</xdr:rowOff>
    </xdr:from>
    <xdr:ext cx="5715000" cy="35337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12</xdr:col>
      <xdr:colOff>723900</xdr:colOff>
      <xdr:row>92</xdr:row>
      <xdr:rowOff>142875</xdr:rowOff>
    </xdr:from>
    <xdr:ext cx="5715000" cy="35337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19</xdr:col>
      <xdr:colOff>371475</xdr:colOff>
      <xdr:row>92</xdr:row>
      <xdr:rowOff>19050</xdr:rowOff>
    </xdr:from>
    <xdr:ext cx="5715000" cy="35337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14</xdr:col>
      <xdr:colOff>152400</xdr:colOff>
      <xdr:row>0</xdr:row>
      <xdr:rowOff>0</xdr:rowOff>
    </xdr:from>
    <xdr:ext cx="4876800" cy="3571875"/>
    <xdr:pic>
      <xdr:nvPicPr>
        <xdr:cNvPr id="0" name="image1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904875</xdr:colOff>
      <xdr:row>0</xdr:row>
      <xdr:rowOff>104775</xdr:rowOff>
    </xdr:from>
    <xdr:ext cx="4876800" cy="3362325"/>
    <xdr:pic>
      <xdr:nvPicPr>
        <xdr:cNvPr id="0" name="image2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114300</xdr:colOff>
      <xdr:row>18</xdr:row>
      <xdr:rowOff>209550</xdr:rowOff>
    </xdr:from>
    <xdr:ext cx="4876800" cy="3390900"/>
    <xdr:pic>
      <xdr:nvPicPr>
        <xdr:cNvPr id="0" name="image3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O3:R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Аэрофлот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E28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Аэрофлот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I15:M27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Аэрофлот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1:E67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Аэрофлот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9:E97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Аэрофлот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5:E5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TurkishAirlines-style" showColumnStripes="0" showFirstColumn="1" showLastColumn="1" showRowStripes="1"/>
</table>
</file>

<file path=xl/tables/table7.xml><?xml version="1.0" encoding="utf-8"?>
<table xmlns="http://schemas.openxmlformats.org/spreadsheetml/2006/main" headerRowCount="0" ref="A95:E114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TurkishAirlines-style 2" showColumnStripes="0" showFirstColumn="1" showLastColumn="1" showRowStripes="1"/>
</table>
</file>

<file path=xl/tables/table8.xml><?xml version="1.0" encoding="utf-8"?>
<table xmlns="http://schemas.openxmlformats.org/spreadsheetml/2006/main" headerRowCount="0" ref="A3:E16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Ютэер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F12" displayName="Table_9" name="Table_9" id="9">
  <tableColumns count="1">
    <tableColumn name="Column1" id="1"/>
  </tableColumns>
  <tableStyleInfo name="Ютэер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9:E19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Ютэер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0:F74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Ютэер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81:E100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Ютэер-style 5" showColumnStripes="0" showFirstColumn="1" showLastColumn="1" showRowStripes="1"/>
</table>
</file>

<file path=xl/tables/table13.xml><?xml version="1.0" encoding="utf-8"?>
<table xmlns="http://schemas.openxmlformats.org/spreadsheetml/2006/main" headerRowCount="0" ref="A23:E41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Метрики-style" showColumnStripes="0" showFirstColumn="1" showLastColumn="1" showRowStripes="1"/>
</table>
</file>

<file path=xl/tables/table14.xml><?xml version="1.0" encoding="utf-8"?>
<table xmlns="http://schemas.openxmlformats.org/spreadsheetml/2006/main" headerRowCount="0" ref="A44:E61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Метрики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10:E17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Горизонтальный анализ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8:E34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Горизонтальный анализ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40:E48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Горизонтальный анализ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49:E49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Горизонтальный анализ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51:E67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Горизонтальный анализ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V51:Y52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Графики-style" showColumnStripes="0" showFirstColumn="1" showLastColumn="1" showRowStripes="1"/>
</table>
</file>

<file path=xl/tables/table21.xml><?xml version="1.0" encoding="utf-8"?>
<table xmlns="http://schemas.openxmlformats.org/spreadsheetml/2006/main" headerRowCount="0" ref="V55:Y55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Графики-style 2" showColumnStripes="0" showFirstColumn="1" showLastColumn="1" showRowStripes="1"/>
</table>
</file>

<file path=xl/tables/table22.xml><?xml version="1.0" encoding="utf-8"?>
<table xmlns="http://schemas.openxmlformats.org/spreadsheetml/2006/main" headerRowCount="0" ref="H56:K56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Графики-style 3" showColumnStripes="0" showFirstColumn="1" showLastColumn="1" showRowStripes="1"/>
</table>
</file>

<file path=xl/tables/table23.xml><?xml version="1.0" encoding="utf-8"?>
<table xmlns="http://schemas.openxmlformats.org/spreadsheetml/2006/main" headerRowCount="0" ref="C58:F58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Графики-style 4" showColumnStripes="0" showFirstColumn="1" showLastColumn="1" showRowStripes="1"/>
</table>
</file>

<file path=xl/tables/table24.xml><?xml version="1.0" encoding="utf-8"?>
<table xmlns="http://schemas.openxmlformats.org/spreadsheetml/2006/main" headerRowCount="0" ref="G69:J71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Графики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2" Type="http://schemas.openxmlformats.org/officeDocument/2006/relationships/table" Target="../tables/table5.xml"/><Relationship Id="rId1" Type="http://schemas.openxmlformats.org/officeDocument/2006/relationships/hyperlink" Target="https://ir.aeroflot.ru/reporting/financial-results/ifrs/" TargetMode="External"/><Relationship Id="rId2" Type="http://schemas.openxmlformats.org/officeDocument/2006/relationships/drawing" Target="../drawings/drawing1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vestor.turkishairlines.com/en/financial-and-operational/financial-results?page=1&amp;year=-&amp;term=12-month" TargetMode="External"/><Relationship Id="rId2" Type="http://schemas.openxmlformats.org/officeDocument/2006/relationships/hyperlink" Target="https://investor.turkishairlines.com/en/financial-and-operational/financial-results?page=1&amp;year=-&amp;term=12-month" TargetMode="External"/><Relationship Id="rId3" Type="http://schemas.openxmlformats.org/officeDocument/2006/relationships/hyperlink" Target="https://www.cbr.ru/currency_base/dynamics/" TargetMode="External"/><Relationship Id="rId4" Type="http://schemas.openxmlformats.org/officeDocument/2006/relationships/drawing" Target="../drawings/drawing2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" Type="http://schemas.openxmlformats.org/officeDocument/2006/relationships/hyperlink" Target="https://smart-lab.ru/q/UTAR/f/y/MSFO/" TargetMode="External"/><Relationship Id="rId2" Type="http://schemas.openxmlformats.org/officeDocument/2006/relationships/hyperlink" Target="https://smart-lab.ru/q/UTAR/f/y/MSFO/" TargetMode="External"/><Relationship Id="rId3" Type="http://schemas.openxmlformats.org/officeDocument/2006/relationships/drawing" Target="../drawings/drawing3.xml"/><Relationship Id="rId9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" Type="http://schemas.openxmlformats.org/officeDocument/2006/relationships/drawing" Target="../drawings/drawing5.xml"/><Relationship Id="rId9" Type="http://schemas.openxmlformats.org/officeDocument/2006/relationships/table" Target="../tables/table17.xml"/><Relationship Id="rId7" Type="http://schemas.openxmlformats.org/officeDocument/2006/relationships/table" Target="../tables/table15.xml"/><Relationship Id="rId8" Type="http://schemas.openxmlformats.org/officeDocument/2006/relationships/table" Target="../tables/table16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1" Type="http://schemas.openxmlformats.org/officeDocument/2006/relationships/drawing" Target="../drawings/drawing6.xml"/><Relationship Id="rId9" Type="http://schemas.openxmlformats.org/officeDocument/2006/relationships/table" Target="../tables/table22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5"/>
    <col customWidth="1" min="2" max="3" width="13.75"/>
    <col customWidth="1" min="9" max="9" width="72.25"/>
  </cols>
  <sheetData>
    <row r="1">
      <c r="A1" s="1" t="s">
        <v>0</v>
      </c>
      <c r="I1" s="1" t="s">
        <v>1</v>
      </c>
    </row>
    <row r="2">
      <c r="A2" s="2" t="s">
        <v>2</v>
      </c>
      <c r="I2" s="2" t="s">
        <v>3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I3" s="3"/>
      <c r="J3" s="4" t="s">
        <v>4</v>
      </c>
      <c r="K3" s="4" t="s">
        <v>5</v>
      </c>
      <c r="L3" s="4" t="s">
        <v>6</v>
      </c>
      <c r="M3" s="4" t="s">
        <v>7</v>
      </c>
      <c r="O3" s="5"/>
      <c r="P3" s="5"/>
      <c r="Q3" s="5"/>
      <c r="R3" s="5"/>
    </row>
    <row r="4">
      <c r="A4" s="6" t="s">
        <v>8</v>
      </c>
      <c r="B4" s="7"/>
      <c r="C4" s="7"/>
      <c r="D4" s="7"/>
      <c r="E4" s="7"/>
      <c r="I4" s="8" t="s">
        <v>9</v>
      </c>
      <c r="J4" s="9">
        <v>270476.0</v>
      </c>
      <c r="K4" s="9">
        <v>457219.0</v>
      </c>
      <c r="L4" s="9">
        <v>596579.0</v>
      </c>
      <c r="M4" s="9">
        <v>838980.0</v>
      </c>
      <c r="O4" s="10"/>
      <c r="P4" s="10"/>
      <c r="Q4" s="11"/>
      <c r="R4" s="10"/>
    </row>
    <row r="5">
      <c r="A5" s="3" t="s">
        <v>10</v>
      </c>
      <c r="B5" s="12"/>
      <c r="C5" s="12"/>
      <c r="D5" s="12"/>
      <c r="E5" s="12"/>
      <c r="I5" s="13" t="s">
        <v>11</v>
      </c>
      <c r="J5" s="4">
        <v>31706.0</v>
      </c>
      <c r="K5" s="4">
        <v>34514.0</v>
      </c>
      <c r="L5" s="4">
        <v>15615.0</v>
      </c>
      <c r="M5" s="4">
        <v>17805.0</v>
      </c>
    </row>
    <row r="6">
      <c r="A6" s="9" t="s">
        <v>12</v>
      </c>
      <c r="B6" s="9">
        <v>88944.0</v>
      </c>
      <c r="C6" s="9">
        <v>74180.0</v>
      </c>
      <c r="D6" s="14">
        <v>83117.0</v>
      </c>
      <c r="E6" s="9">
        <v>67814.0</v>
      </c>
      <c r="I6" s="15" t="s">
        <v>13</v>
      </c>
      <c r="J6" s="6">
        <v>302182.0</v>
      </c>
      <c r="K6" s="6">
        <v>491733.0</v>
      </c>
      <c r="L6" s="16">
        <v>612194.0</v>
      </c>
      <c r="M6" s="6">
        <v>856785.0</v>
      </c>
    </row>
    <row r="7">
      <c r="A7" s="4" t="s">
        <v>14</v>
      </c>
      <c r="B7" s="4">
        <v>4831.0</v>
      </c>
      <c r="C7" s="4">
        <v>19573.0</v>
      </c>
      <c r="D7" s="17">
        <v>34009.0</v>
      </c>
      <c r="E7" s="4">
        <v>37622.0</v>
      </c>
      <c r="I7" s="4"/>
      <c r="J7" s="4"/>
      <c r="K7" s="4"/>
      <c r="L7" s="17"/>
      <c r="M7" s="4"/>
    </row>
    <row r="8">
      <c r="A8" s="9" t="s">
        <v>15</v>
      </c>
      <c r="B8" s="9">
        <v>67051.0</v>
      </c>
      <c r="C8" s="9">
        <v>73213.0</v>
      </c>
      <c r="D8" s="14">
        <v>82262.0</v>
      </c>
      <c r="E8" s="9">
        <v>87450.0</v>
      </c>
      <c r="I8" s="9" t="s">
        <v>16</v>
      </c>
      <c r="J8" s="9">
        <v>-222070.0</v>
      </c>
      <c r="K8" s="9">
        <v>-326216.0</v>
      </c>
      <c r="L8" s="14">
        <v>-411345.0</v>
      </c>
      <c r="M8" s="9">
        <v>-582213.0</v>
      </c>
    </row>
    <row r="9">
      <c r="A9" s="4" t="s">
        <v>17</v>
      </c>
      <c r="B9" s="4">
        <v>469.0</v>
      </c>
      <c r="C9" s="4">
        <v>153.0</v>
      </c>
      <c r="D9" s="17">
        <v>3521.0</v>
      </c>
      <c r="E9" s="4">
        <v>1484.0</v>
      </c>
      <c r="I9" s="4" t="s">
        <v>18</v>
      </c>
      <c r="J9" s="4">
        <v>-65445.0</v>
      </c>
      <c r="K9" s="4">
        <v>-68439.0</v>
      </c>
      <c r="L9" s="17">
        <v>-77447.0</v>
      </c>
      <c r="M9" s="4">
        <v>-99848.0</v>
      </c>
    </row>
    <row r="10">
      <c r="A10" s="9" t="s">
        <v>19</v>
      </c>
      <c r="B10" s="9">
        <v>2739.0</v>
      </c>
      <c r="C10" s="9">
        <v>3103.0</v>
      </c>
      <c r="D10" s="14">
        <v>1827.0</v>
      </c>
      <c r="E10" s="9">
        <v>1485.0</v>
      </c>
      <c r="I10" s="9" t="s">
        <v>20</v>
      </c>
      <c r="J10" s="9">
        <v>-118633.0</v>
      </c>
      <c r="K10" s="9">
        <v>-120506.0</v>
      </c>
      <c r="L10" s="14">
        <v>-135958.0</v>
      </c>
      <c r="M10" s="9">
        <v>-113972.0</v>
      </c>
    </row>
    <row r="11">
      <c r="A11" s="4" t="s">
        <v>21</v>
      </c>
      <c r="B11" s="4">
        <v>16889.0</v>
      </c>
      <c r="C11" s="4">
        <v>17911.0</v>
      </c>
      <c r="D11" s="17">
        <v>31895.0</v>
      </c>
      <c r="E11" s="4">
        <v>57728.0</v>
      </c>
      <c r="I11" s="4" t="s">
        <v>22</v>
      </c>
      <c r="J11" s="4">
        <v>11813.0</v>
      </c>
      <c r="K11" s="4">
        <v>18413.0</v>
      </c>
      <c r="L11" s="17">
        <v>194809.0</v>
      </c>
      <c r="M11" s="4">
        <v>38785.0</v>
      </c>
    </row>
    <row r="12">
      <c r="A12" s="9" t="s">
        <v>23</v>
      </c>
      <c r="B12" s="9">
        <v>4159.0</v>
      </c>
      <c r="C12" s="9">
        <v>2211.0</v>
      </c>
      <c r="D12" s="14">
        <v>14171.0</v>
      </c>
      <c r="E12" s="9">
        <v>154.0</v>
      </c>
      <c r="I12" s="15" t="s">
        <v>24</v>
      </c>
      <c r="J12" s="6">
        <v>-394335.0</v>
      </c>
      <c r="K12" s="6">
        <v>-496748.0</v>
      </c>
      <c r="L12" s="16">
        <v>-429941.0</v>
      </c>
      <c r="M12" s="6">
        <v>-757248.0</v>
      </c>
    </row>
    <row r="13">
      <c r="A13" s="3" t="s">
        <v>25</v>
      </c>
      <c r="B13" s="4">
        <v>185082.0</v>
      </c>
      <c r="C13" s="4">
        <v>190344.0</v>
      </c>
      <c r="D13" s="17">
        <v>250802.0</v>
      </c>
      <c r="E13" s="4">
        <v>253737.0</v>
      </c>
      <c r="I13" s="3"/>
      <c r="J13" s="4"/>
      <c r="K13" s="4"/>
      <c r="L13" s="17"/>
      <c r="M13" s="4"/>
    </row>
    <row r="14">
      <c r="D14" s="18"/>
      <c r="I14" s="19" t="s">
        <v>26</v>
      </c>
      <c r="J14" s="20">
        <v>-92153.0</v>
      </c>
      <c r="K14" s="20">
        <v>-5015.0</v>
      </c>
      <c r="L14" s="21">
        <v>182253.0</v>
      </c>
      <c r="M14" s="20">
        <v>99537.0</v>
      </c>
    </row>
    <row r="15">
      <c r="A15" s="22" t="s">
        <v>27</v>
      </c>
      <c r="B15" s="23"/>
      <c r="C15" s="23"/>
      <c r="D15" s="24"/>
      <c r="E15" s="23"/>
      <c r="I15" s="25" t="s">
        <v>28</v>
      </c>
      <c r="J15" s="26">
        <v>-557.0</v>
      </c>
      <c r="K15" s="26">
        <v>-265.0</v>
      </c>
      <c r="L15" s="27">
        <v>471.0</v>
      </c>
      <c r="M15" s="26">
        <v>614.0</v>
      </c>
    </row>
    <row r="16">
      <c r="A16" s="5" t="s">
        <v>29</v>
      </c>
      <c r="B16" s="28">
        <v>635406.0</v>
      </c>
      <c r="C16" s="28">
        <v>725421.0</v>
      </c>
      <c r="D16" s="29">
        <v>619883.0</v>
      </c>
      <c r="E16" s="28">
        <v>557557.0</v>
      </c>
      <c r="I16" s="5" t="s">
        <v>30</v>
      </c>
      <c r="J16" s="30">
        <v>4938.0</v>
      </c>
      <c r="K16" s="30">
        <v>12331.0</v>
      </c>
      <c r="L16" s="30">
        <v>15968.0</v>
      </c>
      <c r="M16" s="30">
        <v>22464.0</v>
      </c>
    </row>
    <row r="17">
      <c r="A17" s="5" t="s">
        <v>31</v>
      </c>
      <c r="B17" s="31">
        <v>19825.0</v>
      </c>
      <c r="C17" s="31">
        <v>19893.0</v>
      </c>
      <c r="D17" s="29">
        <v>104922.0</v>
      </c>
      <c r="E17" s="31">
        <v>159838.0</v>
      </c>
      <c r="I17" s="5" t="s">
        <v>32</v>
      </c>
      <c r="J17" s="31">
        <v>-47252.0</v>
      </c>
      <c r="K17" s="31">
        <v>-41407.0</v>
      </c>
      <c r="L17" s="31">
        <v>-210060.0</v>
      </c>
      <c r="M17" s="31">
        <v>-79796.0</v>
      </c>
    </row>
    <row r="18">
      <c r="A18" s="5" t="s">
        <v>33</v>
      </c>
      <c r="B18" s="30">
        <v>27275.0</v>
      </c>
      <c r="C18" s="30">
        <v>12743.0</v>
      </c>
      <c r="D18" s="29"/>
      <c r="E18" s="30"/>
      <c r="I18" s="5" t="s">
        <v>34</v>
      </c>
      <c r="J18" s="30">
        <v>-13254.0</v>
      </c>
      <c r="K18" s="30">
        <v>-8291.0</v>
      </c>
      <c r="L18" s="32" t="s">
        <v>35</v>
      </c>
      <c r="M18" s="30">
        <v>-2002.0</v>
      </c>
    </row>
    <row r="19">
      <c r="A19" s="5" t="s">
        <v>36</v>
      </c>
      <c r="B19" s="31">
        <v>75430.0</v>
      </c>
      <c r="C19" s="31">
        <v>85531.0</v>
      </c>
      <c r="D19" s="29">
        <v>93080.0</v>
      </c>
      <c r="E19" s="30">
        <v>130228.0</v>
      </c>
      <c r="I19" s="5" t="s">
        <v>37</v>
      </c>
      <c r="J19" s="31">
        <v>-143.0</v>
      </c>
      <c r="K19" s="31">
        <v>153.0</v>
      </c>
      <c r="L19" s="29">
        <v>18.0</v>
      </c>
      <c r="M19" s="31">
        <v>2437.0</v>
      </c>
    </row>
    <row r="20">
      <c r="A20" s="5" t="s">
        <v>38</v>
      </c>
      <c r="B20" s="30">
        <v>5464.0</v>
      </c>
      <c r="C20" s="30">
        <v>5360.0</v>
      </c>
      <c r="D20" s="29">
        <v>5335.0</v>
      </c>
      <c r="E20" s="31">
        <v>6123.0</v>
      </c>
      <c r="I20" s="5" t="s">
        <v>39</v>
      </c>
      <c r="J20" s="30">
        <v>-5066.0</v>
      </c>
      <c r="K20" s="30" t="s">
        <v>35</v>
      </c>
      <c r="L20" s="32" t="s">
        <v>35</v>
      </c>
      <c r="M20" s="30">
        <v>-1045.0</v>
      </c>
    </row>
    <row r="21">
      <c r="A21" s="5" t="s">
        <v>40</v>
      </c>
      <c r="B21" s="31">
        <v>2414.0</v>
      </c>
      <c r="C21" s="31">
        <v>3221.0</v>
      </c>
      <c r="D21" s="29">
        <v>7475.0</v>
      </c>
      <c r="E21" s="30">
        <v>21245.0</v>
      </c>
      <c r="I21" s="33" t="s">
        <v>41</v>
      </c>
      <c r="J21" s="34">
        <v>-153487.0</v>
      </c>
      <c r="K21" s="34">
        <v>-42494.0</v>
      </c>
      <c r="L21" s="34">
        <v>-11350.0</v>
      </c>
      <c r="M21" s="34">
        <v>42209.0</v>
      </c>
    </row>
    <row r="22">
      <c r="A22" s="5" t="s">
        <v>42</v>
      </c>
      <c r="B22" s="30">
        <v>18606.0</v>
      </c>
      <c r="C22" s="30">
        <v>25467.0</v>
      </c>
      <c r="D22" s="29">
        <v>9800.0</v>
      </c>
      <c r="E22" s="35"/>
      <c r="I22" s="5" t="s">
        <v>43</v>
      </c>
      <c r="J22" s="30">
        <v>30279.0</v>
      </c>
      <c r="K22" s="30">
        <v>8034.0</v>
      </c>
      <c r="L22" s="30">
        <v>-2671.0</v>
      </c>
      <c r="M22" s="30">
        <v>12811.0</v>
      </c>
    </row>
    <row r="23">
      <c r="A23" s="5" t="s">
        <v>19</v>
      </c>
      <c r="B23" s="31">
        <v>1867.0</v>
      </c>
      <c r="C23" s="31">
        <v>1934.0</v>
      </c>
      <c r="D23" s="32">
        <v>139.0</v>
      </c>
      <c r="E23" s="30">
        <v>139.0</v>
      </c>
      <c r="I23" s="5"/>
      <c r="J23" s="36"/>
      <c r="K23" s="35"/>
      <c r="L23" s="32"/>
      <c r="M23" s="36"/>
    </row>
    <row r="24">
      <c r="A24" s="5" t="s">
        <v>44</v>
      </c>
      <c r="B24" s="30">
        <v>419.0</v>
      </c>
      <c r="C24" s="30">
        <v>538.0</v>
      </c>
      <c r="D24" s="32">
        <v>518.0</v>
      </c>
      <c r="E24" s="31">
        <v>1541.0</v>
      </c>
      <c r="I24" s="37" t="s">
        <v>45</v>
      </c>
      <c r="J24" s="38">
        <v>-123208.0</v>
      </c>
      <c r="K24" s="38">
        <v>-34460.0</v>
      </c>
      <c r="L24" s="39">
        <v>-14021.0</v>
      </c>
      <c r="M24" s="38">
        <v>55020.0</v>
      </c>
    </row>
    <row r="25">
      <c r="A25" s="5" t="s">
        <v>46</v>
      </c>
      <c r="B25" s="31">
        <v>44416.0</v>
      </c>
      <c r="C25" s="31">
        <v>38998.0</v>
      </c>
      <c r="D25" s="29">
        <v>22060.0</v>
      </c>
      <c r="E25" s="30">
        <v>26488.0</v>
      </c>
      <c r="I25" s="36" t="s">
        <v>47</v>
      </c>
      <c r="J25" s="40"/>
      <c r="K25" s="36"/>
      <c r="L25" s="36"/>
      <c r="M25" s="40"/>
    </row>
    <row r="26">
      <c r="A26" s="33" t="s">
        <v>48</v>
      </c>
      <c r="B26" s="41">
        <v>831122.0</v>
      </c>
      <c r="C26" s="30">
        <v>919106.0</v>
      </c>
      <c r="D26" s="29">
        <v>863212.0</v>
      </c>
      <c r="E26" s="42">
        <v>903159.0</v>
      </c>
      <c r="I26" s="43" t="s">
        <v>49</v>
      </c>
      <c r="J26" s="30">
        <v>-117613.0</v>
      </c>
      <c r="K26" s="30">
        <v>-34106.0</v>
      </c>
      <c r="L26" s="30">
        <v>-8862.0</v>
      </c>
      <c r="M26" s="30">
        <v>58501.0</v>
      </c>
    </row>
    <row r="27">
      <c r="A27" s="44"/>
      <c r="B27" s="36"/>
      <c r="C27" s="40"/>
      <c r="D27" s="45"/>
      <c r="E27" s="43"/>
      <c r="I27" s="36" t="s">
        <v>50</v>
      </c>
      <c r="J27" s="31">
        <v>-5595.0</v>
      </c>
      <c r="K27" s="31">
        <v>-354.0</v>
      </c>
      <c r="L27" s="31">
        <v>-5159.0</v>
      </c>
      <c r="M27" s="31">
        <v>-3481.0</v>
      </c>
    </row>
    <row r="28">
      <c r="A28" s="33" t="s">
        <v>51</v>
      </c>
      <c r="B28" s="41">
        <v>1016204.0</v>
      </c>
      <c r="C28" s="46">
        <v>1109450.0</v>
      </c>
      <c r="D28" s="29">
        <v>1114014.0</v>
      </c>
      <c r="E28" s="42">
        <v>1156896.0</v>
      </c>
    </row>
    <row r="29">
      <c r="A29" s="47"/>
      <c r="B29" s="48"/>
      <c r="C29" s="27"/>
      <c r="D29" s="24"/>
      <c r="E29" s="47"/>
      <c r="I29" s="7"/>
      <c r="J29" s="49"/>
      <c r="K29" s="50"/>
      <c r="L29" s="51"/>
      <c r="M29" s="7"/>
    </row>
    <row r="30">
      <c r="B30" s="50"/>
      <c r="C30" s="18"/>
      <c r="D30" s="18"/>
      <c r="I30" s="52" t="s">
        <v>52</v>
      </c>
      <c r="J30" s="53"/>
      <c r="K30" s="51"/>
      <c r="L30" s="51"/>
      <c r="M30" s="7"/>
    </row>
    <row r="31">
      <c r="A31" s="54" t="s">
        <v>53</v>
      </c>
      <c r="B31" s="26"/>
      <c r="C31" s="26"/>
      <c r="D31" s="24"/>
      <c r="E31" s="23"/>
      <c r="I31" s="55" t="s">
        <v>54</v>
      </c>
      <c r="J31" s="56" t="s">
        <v>55</v>
      </c>
    </row>
    <row r="32">
      <c r="A32" s="44"/>
      <c r="B32" s="28"/>
      <c r="C32" s="28"/>
      <c r="D32" s="45"/>
      <c r="E32" s="5"/>
      <c r="I32" s="9"/>
      <c r="J32" s="53"/>
      <c r="K32" s="49"/>
      <c r="L32" s="51"/>
      <c r="M32" s="9"/>
    </row>
    <row r="33">
      <c r="A33" s="33" t="s">
        <v>56</v>
      </c>
      <c r="B33" s="31"/>
      <c r="C33" s="31"/>
      <c r="D33" s="45"/>
      <c r="E33" s="5"/>
      <c r="H33" s="57"/>
      <c r="I33" s="58"/>
      <c r="J33" s="49"/>
      <c r="K33" s="46"/>
      <c r="L33" s="59"/>
      <c r="M33" s="60"/>
      <c r="N33" s="57"/>
    </row>
    <row r="34">
      <c r="A34" s="5" t="s">
        <v>57</v>
      </c>
      <c r="B34" s="49">
        <v>52186.0</v>
      </c>
      <c r="C34" s="28">
        <v>63211.0</v>
      </c>
      <c r="D34" s="29">
        <v>98913.0</v>
      </c>
      <c r="E34" s="61">
        <v>116717.0</v>
      </c>
      <c r="H34" s="57"/>
      <c r="I34" s="60"/>
      <c r="J34" s="62"/>
      <c r="K34" s="46"/>
      <c r="L34" s="63"/>
      <c r="M34" s="46"/>
      <c r="N34" s="57"/>
    </row>
    <row r="35">
      <c r="A35" s="5" t="s">
        <v>58</v>
      </c>
      <c r="B35" s="64">
        <v>44622.0</v>
      </c>
      <c r="C35" s="31">
        <v>54837.0</v>
      </c>
      <c r="D35" s="29">
        <v>45571.0</v>
      </c>
      <c r="E35" s="61">
        <v>64774.0</v>
      </c>
      <c r="H35" s="57"/>
      <c r="I35" s="60"/>
      <c r="J35" s="46"/>
      <c r="K35" s="46"/>
      <c r="L35" s="63"/>
      <c r="M35" s="46"/>
      <c r="N35" s="57"/>
    </row>
    <row r="36">
      <c r="A36" s="5" t="s">
        <v>59</v>
      </c>
      <c r="B36" s="31">
        <v>1929.0</v>
      </c>
      <c r="C36" s="30">
        <v>2043.0</v>
      </c>
      <c r="D36" s="29">
        <v>2775.0</v>
      </c>
      <c r="E36" s="28">
        <v>15767.0</v>
      </c>
      <c r="H36" s="57"/>
      <c r="I36" s="60"/>
      <c r="J36" s="46"/>
      <c r="K36" s="46"/>
      <c r="L36" s="63"/>
      <c r="M36" s="46"/>
      <c r="N36" s="57"/>
    </row>
    <row r="37">
      <c r="A37" s="5" t="s">
        <v>60</v>
      </c>
      <c r="B37" s="41">
        <v>20859.0</v>
      </c>
      <c r="C37" s="31">
        <v>27252.0</v>
      </c>
      <c r="D37" s="29">
        <v>42386.0</v>
      </c>
      <c r="E37" s="42">
        <v>50711.0</v>
      </c>
      <c r="H37" s="57"/>
      <c r="I37" s="60"/>
      <c r="J37" s="65"/>
      <c r="K37" s="46"/>
      <c r="L37" s="63"/>
      <c r="M37" s="65"/>
      <c r="N37" s="57"/>
    </row>
    <row r="38">
      <c r="A38" s="5" t="s">
        <v>61</v>
      </c>
      <c r="B38" s="31">
        <v>126761.0</v>
      </c>
      <c r="C38" s="41">
        <v>107604.0</v>
      </c>
      <c r="D38" s="29">
        <v>104876.0</v>
      </c>
      <c r="E38" s="30">
        <v>140596.0</v>
      </c>
      <c r="H38" s="57"/>
      <c r="I38" s="60"/>
      <c r="J38" s="46"/>
      <c r="K38" s="65"/>
      <c r="L38" s="63"/>
      <c r="M38" s="46"/>
      <c r="N38" s="57"/>
    </row>
    <row r="39">
      <c r="A39" s="5" t="s">
        <v>62</v>
      </c>
      <c r="B39" s="30">
        <v>34924.0</v>
      </c>
      <c r="C39" s="31">
        <v>17500.0</v>
      </c>
      <c r="D39" s="29">
        <v>44178.0</v>
      </c>
      <c r="E39" s="31">
        <v>19746.0</v>
      </c>
      <c r="H39" s="57"/>
      <c r="I39" s="60"/>
      <c r="J39" s="46"/>
      <c r="K39" s="46"/>
      <c r="L39" s="63"/>
      <c r="M39" s="46"/>
      <c r="N39" s="57"/>
    </row>
    <row r="40">
      <c r="A40" s="5" t="s">
        <v>63</v>
      </c>
      <c r="B40" s="31">
        <v>4.0</v>
      </c>
      <c r="C40" s="30">
        <v>141.0</v>
      </c>
      <c r="D40" s="32">
        <v>905.0</v>
      </c>
      <c r="E40" s="30">
        <v>754.0</v>
      </c>
      <c r="H40" s="57"/>
      <c r="I40" s="60"/>
      <c r="J40" s="46"/>
      <c r="K40" s="46"/>
      <c r="L40" s="62"/>
      <c r="M40" s="46"/>
      <c r="N40" s="57"/>
    </row>
    <row r="41">
      <c r="A41" s="33" t="s">
        <v>64</v>
      </c>
      <c r="B41" s="30">
        <v>281285.0</v>
      </c>
      <c r="C41" s="31">
        <v>272588.0</v>
      </c>
      <c r="D41" s="29">
        <v>339604.0</v>
      </c>
      <c r="E41" s="31">
        <v>409065.0</v>
      </c>
      <c r="H41" s="57"/>
      <c r="I41" s="58"/>
      <c r="J41" s="46"/>
      <c r="K41" s="46"/>
      <c r="L41" s="63"/>
      <c r="M41" s="46"/>
      <c r="N41" s="57"/>
    </row>
    <row r="42">
      <c r="A42" s="44"/>
      <c r="B42" s="36"/>
      <c r="C42" s="43"/>
      <c r="D42" s="45"/>
      <c r="E42" s="43"/>
      <c r="H42" s="57"/>
      <c r="I42" s="57"/>
      <c r="J42" s="66"/>
      <c r="K42" s="66"/>
      <c r="L42" s="59"/>
      <c r="M42" s="66"/>
      <c r="N42" s="57"/>
    </row>
    <row r="43">
      <c r="A43" s="33" t="s">
        <v>65</v>
      </c>
      <c r="B43" s="30"/>
      <c r="C43" s="31"/>
      <c r="D43" s="45"/>
      <c r="E43" s="31"/>
      <c r="H43" s="57"/>
      <c r="I43" s="58"/>
      <c r="J43" s="46"/>
      <c r="K43" s="46"/>
      <c r="L43" s="59"/>
      <c r="M43" s="46"/>
      <c r="N43" s="57"/>
    </row>
    <row r="44">
      <c r="A44" s="5" t="s">
        <v>66</v>
      </c>
      <c r="B44" s="30">
        <v>53711.0</v>
      </c>
      <c r="C44" s="30">
        <v>114768.0</v>
      </c>
      <c r="D44" s="29">
        <v>60190.0</v>
      </c>
      <c r="E44" s="41">
        <v>40722.0</v>
      </c>
      <c r="H44" s="57"/>
      <c r="I44" s="60"/>
      <c r="J44" s="46"/>
      <c r="K44" s="46"/>
      <c r="L44" s="63"/>
      <c r="M44" s="65"/>
      <c r="N44" s="57"/>
    </row>
    <row r="45">
      <c r="A45" s="5" t="s">
        <v>61</v>
      </c>
      <c r="B45" s="42">
        <v>535746.0</v>
      </c>
      <c r="C45" s="31">
        <v>557679.0</v>
      </c>
      <c r="D45" s="29">
        <v>538007.0</v>
      </c>
      <c r="E45" s="31">
        <v>501945.0</v>
      </c>
      <c r="H45" s="57"/>
      <c r="I45" s="60"/>
      <c r="J45" s="65"/>
      <c r="K45" s="46"/>
      <c r="L45" s="63"/>
      <c r="M45" s="46"/>
      <c r="N45" s="57"/>
    </row>
    <row r="46">
      <c r="A46" s="5" t="s">
        <v>60</v>
      </c>
      <c r="B46" s="30">
        <v>232868.0</v>
      </c>
      <c r="C46" s="41">
        <v>287355.0</v>
      </c>
      <c r="D46" s="29">
        <v>255304.0</v>
      </c>
      <c r="E46" s="41">
        <v>272475.0</v>
      </c>
      <c r="H46" s="57"/>
      <c r="I46" s="60"/>
      <c r="J46" s="46"/>
      <c r="K46" s="65"/>
      <c r="L46" s="63"/>
      <c r="M46" s="65"/>
      <c r="N46" s="57"/>
    </row>
    <row r="47">
      <c r="A47" s="5" t="s">
        <v>67</v>
      </c>
      <c r="B47" s="42">
        <v>77.0</v>
      </c>
      <c r="C47" s="31">
        <v>85.0</v>
      </c>
      <c r="D47" s="32">
        <v>77.0</v>
      </c>
      <c r="E47" s="31">
        <v>204.0</v>
      </c>
      <c r="H47" s="57"/>
      <c r="I47" s="60"/>
      <c r="J47" s="65"/>
      <c r="K47" s="46"/>
      <c r="L47" s="62"/>
      <c r="M47" s="46"/>
      <c r="N47" s="57"/>
    </row>
    <row r="48">
      <c r="A48" s="5" t="s">
        <v>59</v>
      </c>
      <c r="B48" s="30">
        <v>7197.0</v>
      </c>
      <c r="C48" s="67">
        <v>7861.0</v>
      </c>
      <c r="D48" s="29">
        <v>9673.0</v>
      </c>
      <c r="E48" s="67"/>
      <c r="H48" s="57"/>
      <c r="I48" s="60"/>
      <c r="J48" s="46"/>
      <c r="K48" s="62"/>
      <c r="L48" s="63"/>
      <c r="M48" s="62"/>
      <c r="N48" s="57"/>
    </row>
    <row r="49">
      <c r="A49" s="5" t="s">
        <v>68</v>
      </c>
      <c r="B49" s="31">
        <v>20666.0</v>
      </c>
      <c r="C49" s="35">
        <v>15552.0</v>
      </c>
      <c r="D49" s="29">
        <v>9913.0</v>
      </c>
      <c r="E49" s="31">
        <v>4982.0</v>
      </c>
      <c r="H49" s="57"/>
      <c r="I49" s="60"/>
      <c r="J49" s="46"/>
      <c r="K49" s="62"/>
      <c r="L49" s="63"/>
      <c r="M49" s="46"/>
      <c r="N49" s="57"/>
    </row>
    <row r="50">
      <c r="A50" s="33" t="s">
        <v>69</v>
      </c>
      <c r="B50" s="30">
        <v>850265.0</v>
      </c>
      <c r="C50" s="30">
        <v>983300.0</v>
      </c>
      <c r="D50" s="29">
        <v>873164.0</v>
      </c>
      <c r="E50" s="30">
        <v>820328.0</v>
      </c>
      <c r="H50" s="57"/>
      <c r="I50" s="58"/>
      <c r="J50" s="46"/>
      <c r="K50" s="46"/>
      <c r="L50" s="63"/>
      <c r="M50" s="46"/>
      <c r="N50" s="57"/>
    </row>
    <row r="51">
      <c r="A51" s="44"/>
      <c r="B51" s="36"/>
      <c r="C51" s="36"/>
      <c r="D51" s="45"/>
      <c r="E51" s="36"/>
      <c r="H51" s="57"/>
      <c r="I51" s="57"/>
      <c r="J51" s="66"/>
      <c r="K51" s="66"/>
      <c r="L51" s="59"/>
      <c r="M51" s="66"/>
      <c r="N51" s="57"/>
    </row>
    <row r="52">
      <c r="A52" s="33" t="s">
        <v>70</v>
      </c>
      <c r="B52" s="30">
        <v>1131550.0</v>
      </c>
      <c r="C52" s="30">
        <v>1255888.0</v>
      </c>
      <c r="D52" s="29">
        <v>1212768.0</v>
      </c>
      <c r="E52" s="30">
        <v>1229393.0</v>
      </c>
      <c r="H52" s="57"/>
      <c r="I52" s="58"/>
      <c r="J52" s="46"/>
      <c r="K52" s="46"/>
      <c r="L52" s="63"/>
      <c r="M52" s="46"/>
      <c r="N52" s="57"/>
    </row>
    <row r="53">
      <c r="A53" s="44"/>
      <c r="B53" s="36"/>
      <c r="C53" s="36"/>
      <c r="D53" s="45"/>
      <c r="E53" s="36"/>
      <c r="H53" s="57"/>
      <c r="I53" s="57"/>
      <c r="J53" s="66"/>
      <c r="K53" s="66"/>
      <c r="L53" s="59"/>
      <c r="M53" s="66"/>
      <c r="N53" s="57"/>
    </row>
    <row r="54">
      <c r="A54" s="44"/>
      <c r="B54" s="30"/>
      <c r="C54" s="30"/>
      <c r="D54" s="45"/>
      <c r="E54" s="30"/>
      <c r="H54" s="57"/>
      <c r="I54" s="57"/>
      <c r="J54" s="46"/>
      <c r="K54" s="46"/>
      <c r="L54" s="59"/>
      <c r="M54" s="46"/>
      <c r="N54" s="57"/>
    </row>
    <row r="55">
      <c r="A55" s="33" t="s">
        <v>71</v>
      </c>
      <c r="B55" s="31"/>
      <c r="C55" s="31"/>
      <c r="D55" s="45"/>
      <c r="E55" s="42"/>
      <c r="H55" s="57"/>
      <c r="I55" s="58"/>
      <c r="J55" s="46"/>
      <c r="K55" s="46"/>
      <c r="L55" s="59"/>
      <c r="M55" s="65"/>
      <c r="N55" s="57"/>
    </row>
    <row r="56">
      <c r="A56" s="5" t="s">
        <v>72</v>
      </c>
      <c r="B56" s="31">
        <v>2693.0</v>
      </c>
      <c r="C56" s="31">
        <v>2693.0</v>
      </c>
      <c r="D56" s="29">
        <v>4224.0</v>
      </c>
      <c r="E56" s="31">
        <v>4224.0</v>
      </c>
      <c r="H56" s="57"/>
      <c r="I56" s="60"/>
      <c r="J56" s="46"/>
      <c r="K56" s="46"/>
      <c r="L56" s="63"/>
      <c r="M56" s="46"/>
      <c r="N56" s="57"/>
    </row>
    <row r="57">
      <c r="A57" s="5" t="s">
        <v>73</v>
      </c>
      <c r="B57" s="41">
        <v>78701.0</v>
      </c>
      <c r="C57" s="30">
        <v>78701.0</v>
      </c>
      <c r="D57" s="29">
        <v>144402.0</v>
      </c>
      <c r="E57" s="41">
        <v>143482.0</v>
      </c>
      <c r="H57" s="57"/>
      <c r="I57" s="60"/>
      <c r="J57" s="65"/>
      <c r="K57" s="46"/>
      <c r="L57" s="63"/>
      <c r="M57" s="65"/>
      <c r="N57" s="57"/>
    </row>
    <row r="58">
      <c r="A58" s="5" t="s">
        <v>74</v>
      </c>
      <c r="B58" s="31">
        <v>-7040.0</v>
      </c>
      <c r="C58" s="42">
        <v>-7040.0</v>
      </c>
      <c r="D58" s="29">
        <v>-7040.0</v>
      </c>
      <c r="E58" s="42">
        <v>-7040.0</v>
      </c>
      <c r="H58" s="57"/>
      <c r="I58" s="60"/>
      <c r="J58" s="46"/>
      <c r="K58" s="65"/>
      <c r="L58" s="63"/>
      <c r="M58" s="65"/>
      <c r="N58" s="57"/>
    </row>
    <row r="59">
      <c r="A59" s="5" t="s">
        <v>75</v>
      </c>
      <c r="B59" s="41">
        <v>7864.0</v>
      </c>
      <c r="C59" s="30">
        <v>7864.0</v>
      </c>
      <c r="D59" s="29">
        <v>7864.0</v>
      </c>
      <c r="E59" s="41">
        <v>7864.0</v>
      </c>
      <c r="H59" s="57"/>
      <c r="I59" s="60"/>
      <c r="J59" s="65"/>
      <c r="K59" s="46"/>
      <c r="L59" s="63"/>
      <c r="M59" s="65"/>
      <c r="N59" s="57"/>
    </row>
    <row r="60">
      <c r="A60" s="5" t="s">
        <v>76</v>
      </c>
      <c r="B60" s="42">
        <v>-48330.0</v>
      </c>
      <c r="C60" s="42">
        <v>-44949.0</v>
      </c>
      <c r="D60" s="29"/>
      <c r="H60" s="57"/>
      <c r="I60" s="60"/>
      <c r="J60" s="65"/>
      <c r="K60" s="65"/>
      <c r="L60" s="63"/>
      <c r="M60" s="62"/>
      <c r="N60" s="57"/>
    </row>
    <row r="61">
      <c r="A61" s="5" t="s">
        <v>77</v>
      </c>
      <c r="B61" s="41">
        <v>-141664.0</v>
      </c>
      <c r="C61" s="41">
        <v>-175770.0</v>
      </c>
      <c r="D61" s="29">
        <v>-234993.0</v>
      </c>
      <c r="E61" s="35">
        <v>-176492.0</v>
      </c>
      <c r="H61" s="57"/>
      <c r="I61" s="60"/>
      <c r="J61" s="65"/>
      <c r="K61" s="65"/>
      <c r="L61" s="63"/>
      <c r="M61" s="57"/>
      <c r="N61" s="57"/>
    </row>
    <row r="62">
      <c r="A62" s="33" t="s">
        <v>78</v>
      </c>
      <c r="B62" s="42">
        <v>-107776.0</v>
      </c>
      <c r="C62" s="42">
        <v>-138501.0</v>
      </c>
      <c r="D62" s="29">
        <v>-85543.0</v>
      </c>
      <c r="E62" s="67">
        <v>-55712.0</v>
      </c>
      <c r="H62" s="57"/>
      <c r="I62" s="58"/>
      <c r="J62" s="65"/>
      <c r="K62" s="65"/>
      <c r="L62" s="63"/>
      <c r="M62" s="62"/>
      <c r="N62" s="57"/>
    </row>
    <row r="63">
      <c r="A63" s="5" t="s">
        <v>79</v>
      </c>
      <c r="B63" s="41">
        <v>-7570.0</v>
      </c>
      <c r="C63" s="41">
        <v>-7937.0</v>
      </c>
      <c r="D63" s="29">
        <v>-13211.0</v>
      </c>
      <c r="E63" s="35">
        <v>-16785.0</v>
      </c>
      <c r="H63" s="57"/>
      <c r="I63" s="60"/>
      <c r="J63" s="65"/>
      <c r="K63" s="65"/>
      <c r="L63" s="63"/>
      <c r="M63" s="62"/>
      <c r="N63" s="57"/>
    </row>
    <row r="64">
      <c r="A64" s="44"/>
      <c r="B64" s="42"/>
      <c r="C64" s="42"/>
      <c r="D64" s="45"/>
      <c r="E64" s="41"/>
      <c r="H64" s="57"/>
      <c r="I64" s="57"/>
      <c r="J64" s="65"/>
      <c r="K64" s="65"/>
      <c r="L64" s="59"/>
      <c r="M64" s="65"/>
      <c r="N64" s="57"/>
    </row>
    <row r="65">
      <c r="A65" s="33" t="s">
        <v>80</v>
      </c>
      <c r="B65" s="42">
        <v>-115346.0</v>
      </c>
      <c r="C65" s="68">
        <v>-146438.0</v>
      </c>
      <c r="D65" s="29">
        <v>-98754.0</v>
      </c>
      <c r="E65" s="69">
        <v>-72497.0</v>
      </c>
      <c r="H65" s="57"/>
      <c r="I65" s="58"/>
      <c r="J65" s="65"/>
      <c r="K65" s="63"/>
      <c r="L65" s="63"/>
      <c r="M65" s="63"/>
      <c r="N65" s="57"/>
    </row>
    <row r="66">
      <c r="A66" s="44"/>
      <c r="B66" s="70"/>
      <c r="C66" s="42"/>
      <c r="D66" s="45"/>
      <c r="E66" s="41"/>
      <c r="H66" s="57"/>
      <c r="I66" s="57"/>
      <c r="J66" s="59"/>
      <c r="K66" s="65"/>
      <c r="L66" s="59"/>
      <c r="M66" s="65"/>
      <c r="N66" s="57"/>
    </row>
    <row r="67">
      <c r="A67" s="33" t="s">
        <v>81</v>
      </c>
      <c r="B67" s="42">
        <v>1016204.0</v>
      </c>
      <c r="C67" s="44">
        <v>1109450.0</v>
      </c>
      <c r="D67" s="29">
        <v>1114014.0</v>
      </c>
      <c r="E67" s="5">
        <v>1156896.0</v>
      </c>
      <c r="H67" s="57"/>
      <c r="I67" s="58"/>
      <c r="J67" s="65"/>
      <c r="K67" s="57"/>
      <c r="L67" s="63"/>
      <c r="M67" s="60"/>
      <c r="N67" s="57"/>
    </row>
    <row r="68">
      <c r="A68" s="7"/>
      <c r="B68" s="7"/>
      <c r="C68" s="7"/>
      <c r="D68" s="51"/>
      <c r="E68" s="7"/>
      <c r="H68" s="57"/>
      <c r="I68" s="57"/>
      <c r="J68" s="57"/>
      <c r="K68" s="57"/>
      <c r="L68" s="57"/>
      <c r="M68" s="57"/>
      <c r="N68" s="57"/>
    </row>
    <row r="69">
      <c r="A69" s="47"/>
      <c r="B69" s="47"/>
      <c r="C69" s="47"/>
      <c r="D69" s="24"/>
      <c r="E69" s="47"/>
      <c r="H69" s="57"/>
      <c r="I69" s="57"/>
      <c r="J69" s="57"/>
      <c r="K69" s="57"/>
      <c r="L69" s="57"/>
      <c r="M69" s="57"/>
      <c r="N69" s="57"/>
    </row>
    <row r="70">
      <c r="A70" s="71" t="s">
        <v>82</v>
      </c>
      <c r="B70" s="72"/>
      <c r="C70" s="72"/>
      <c r="D70" s="72"/>
      <c r="E70" s="72"/>
      <c r="H70" s="57"/>
      <c r="I70" s="57"/>
      <c r="J70" s="57"/>
      <c r="K70" s="57"/>
      <c r="L70" s="57"/>
      <c r="M70" s="57"/>
      <c r="N70" s="57"/>
    </row>
    <row r="71">
      <c r="A71" s="44"/>
      <c r="B71" s="44"/>
      <c r="C71" s="44"/>
      <c r="D71" s="44"/>
      <c r="E71" s="44"/>
    </row>
    <row r="72">
      <c r="A72" s="73" t="s">
        <v>83</v>
      </c>
      <c r="B72" s="44"/>
      <c r="C72" s="44"/>
      <c r="D72" s="44"/>
      <c r="E72" s="44"/>
    </row>
    <row r="73">
      <c r="A73" s="5" t="s">
        <v>84</v>
      </c>
      <c r="B73" s="74">
        <f>'Аэрофлот'!B13/'Аэрофлот'!B41</f>
        <v>0.6579874505</v>
      </c>
      <c r="C73" s="74">
        <f>'Аэрофлот'!C13/'Аэрофлот'!C41</f>
        <v>0.6982845907</v>
      </c>
      <c r="D73" s="74">
        <f>'Аэрофлот'!D13/'Аэрофлот'!D41</f>
        <v>0.7385130917</v>
      </c>
      <c r="E73" s="74">
        <f>'Аэрофлот'!E13/'Аэрофлот'!E41</f>
        <v>0.6202852847</v>
      </c>
    </row>
    <row r="74">
      <c r="A74" s="5" t="s">
        <v>85</v>
      </c>
      <c r="B74" s="75">
        <f>('Аэрофлот'!B6+'Аэрофлот'!B7+'Аэрофлот'!B8)/'Аэрофлот'!B41</f>
        <v>0.5717546261</v>
      </c>
      <c r="C74" s="75">
        <f>('Аэрофлот'!C6+'Аэрофлот'!C7+'Аэрофлот'!C8)/'Аэрофлот'!C41</f>
        <v>0.612521461</v>
      </c>
      <c r="D74" s="75">
        <f>('Аэрофлот'!D6+'Аэрофлот'!D7+'Аэрофлот'!D8)/'Аэрофлот'!D41</f>
        <v>0.5871191152</v>
      </c>
      <c r="E74" s="75">
        <f>('Аэрофлот'!E6+'Аэрофлот'!E7+'Аэрофлот'!E8)/'Аэрофлот'!E41</f>
        <v>0.4715289746</v>
      </c>
    </row>
    <row r="75">
      <c r="A75" s="5" t="s">
        <v>86</v>
      </c>
      <c r="B75" s="74">
        <f>('Аэрофлот'!B6+'Аэрофлот'!B7)/'Аэрофлот'!B41</f>
        <v>0.3333807348</v>
      </c>
      <c r="C75" s="74">
        <f>('Аэрофлот'!C6+'Аэрофлот'!C7)/'Аэрофлот'!C41</f>
        <v>0.343936637</v>
      </c>
      <c r="D75" s="74">
        <f>('Аэрофлот'!D6+'Аэрофлот'!D7)/'Аэрофлот'!D41</f>
        <v>0.3448899306</v>
      </c>
      <c r="E75" s="74">
        <f>('Аэрофлот'!E6+'Аэрофлот'!E7)/'Аэрофлот'!E41</f>
        <v>0.2577487685</v>
      </c>
    </row>
    <row r="76">
      <c r="A76" s="44"/>
      <c r="B76" s="76"/>
      <c r="C76" s="76"/>
      <c r="D76" s="76"/>
      <c r="E76" s="76"/>
    </row>
    <row r="77">
      <c r="A77" s="73" t="s">
        <v>87</v>
      </c>
      <c r="B77" s="74"/>
      <c r="C77" s="74"/>
      <c r="D77" s="74"/>
      <c r="E77" s="74"/>
    </row>
    <row r="78">
      <c r="A78" s="77" t="s">
        <v>88</v>
      </c>
      <c r="B78" s="74">
        <f>abs('Аэрофлот'!B65)/(abs('Аэрофлот'!B65)+'Аэрофлот'!B52)</f>
        <v>0.09250651217</v>
      </c>
      <c r="C78" s="74">
        <f>abs('Аэрофлот'!C65)/(abs('Аэрофлот'!C65)+'Аэрофлот'!C52)</f>
        <v>0.1044250766</v>
      </c>
      <c r="D78" s="74">
        <f>abs('Аэрофлот'!D65)/(abs('Аэрофлот'!D65)+'Аэрофлот'!D52)</f>
        <v>0.07529725007</v>
      </c>
      <c r="E78" s="74">
        <f>abs('Аэрофлот'!E65)/(abs('Аэрофлот'!E65)+'Аэрофлот'!E52)</f>
        <v>0.05568596425</v>
      </c>
    </row>
    <row r="79">
      <c r="A79" s="77" t="s">
        <v>89</v>
      </c>
      <c r="B79" s="74">
        <f>('Аэрофлот'!B41+'Аэрофлот'!B50)/'Аэрофлот'!B65</f>
        <v>-9.810049763</v>
      </c>
      <c r="C79" s="74">
        <f>('Аэрофлот'!C41+'Аэрофлот'!C50)/'Аэрофлот'!C65</f>
        <v>-8.576243871</v>
      </c>
      <c r="D79" s="74">
        <f>('Аэрофлот'!D41+'Аэрофлот'!D50)/'Аэрофлот'!D65</f>
        <v>-12.28069749</v>
      </c>
      <c r="E79" s="74">
        <f>('Аэрофлот'!E41+'Аэрофлот'!E50)/'Аэрофлот'!E65</f>
        <v>-16.95784653</v>
      </c>
    </row>
    <row r="80">
      <c r="A80" s="77" t="s">
        <v>90</v>
      </c>
      <c r="B80" s="74">
        <f>'Аэрофлот'!B28/'Аэрофлот'!B65</f>
        <v>-8.810049763</v>
      </c>
      <c r="C80" s="74">
        <f>'Аэрофлот'!C28/'Аэрофлот'!C65</f>
        <v>-7.576243871</v>
      </c>
      <c r="D80" s="74">
        <f>'Аэрофлот'!D28/'Аэрофлот'!D65</f>
        <v>-11.28069749</v>
      </c>
      <c r="E80" s="74">
        <f>'Аэрофлот'!E28/'Аэрофлот'!E65</f>
        <v>-15.95784653</v>
      </c>
    </row>
    <row r="81">
      <c r="A81" s="44"/>
      <c r="B81" s="76"/>
      <c r="C81" s="76"/>
      <c r="D81" s="76"/>
      <c r="E81" s="76"/>
    </row>
    <row r="82">
      <c r="A82" s="78" t="s">
        <v>91</v>
      </c>
      <c r="B82" s="76"/>
      <c r="C82" s="76"/>
      <c r="D82" s="76"/>
      <c r="E82" s="76"/>
    </row>
    <row r="83">
      <c r="A83" s="77" t="s">
        <v>92</v>
      </c>
      <c r="B83" s="74">
        <f>('Аэрофлот'!J6)/(('Аэрофлот'!B119+'Аэрофлот'!B28)/2)</f>
        <v>0.3100062477</v>
      </c>
      <c r="C83" s="74">
        <f>('Аэрофлот'!K6)/(('Аэрофлот'!B28+'Аэрофлот'!C28)/2)</f>
        <v>0.4626651374</v>
      </c>
      <c r="D83" s="74">
        <f>('Аэрофлот'!L6)/(('Аэрофлот'!C28+'Аэрофлот'!D28)/2)</f>
        <v>0.5506668873</v>
      </c>
      <c r="E83" s="74">
        <f>('Аэрофлот'!M6)/(('Аэрофлот'!D28+'Аэрофлот'!E28)/2)</f>
        <v>0.7545741575</v>
      </c>
    </row>
    <row r="84">
      <c r="A84" s="77" t="s">
        <v>93</v>
      </c>
      <c r="B84" s="74">
        <f>(('Аэрофлот'!B120+'Аэрофлот'!B8)/2)/('Аэрофлот'!J6)</f>
        <v>0.2705621116</v>
      </c>
      <c r="C84" s="74">
        <f>(('Аэрофлот'!B8+'Аэрофлот'!C8)/2)/('Аэрофлот'!K6)</f>
        <v>0.142622114</v>
      </c>
      <c r="D84" s="74">
        <f>(('Аэрофлот'!C8+'Аэрофлот'!D8)/2)/('Аэрофлот'!L6)</f>
        <v>0.1269818064</v>
      </c>
      <c r="E84" s="74">
        <f>(('Аэрофлот'!D8+'Аэрофлот'!E8)/2)/('Аэрофлот'!M6)</f>
        <v>0.09904001587</v>
      </c>
    </row>
    <row r="85">
      <c r="A85" s="44"/>
      <c r="B85" s="74"/>
      <c r="C85" s="74"/>
      <c r="D85" s="74"/>
      <c r="E85" s="74"/>
    </row>
    <row r="86">
      <c r="A86" s="78" t="s">
        <v>94</v>
      </c>
      <c r="B86" s="74"/>
      <c r="C86" s="74"/>
      <c r="D86" s="74"/>
      <c r="E86" s="74"/>
    </row>
    <row r="87">
      <c r="A87" s="77" t="s">
        <v>95</v>
      </c>
      <c r="B87" s="74">
        <f>'Аэрофлот'!J24*100/'Аэрофлот'!J6</f>
        <v>-40.77277932</v>
      </c>
      <c r="C87" s="74">
        <f>'Аэрофлот'!K24*100/'Аэрофлот'!K6</f>
        <v>-7.007868091</v>
      </c>
      <c r="D87" s="74">
        <f>'Аэрофлот'!L24*100/'Аэрофлот'!L6</f>
        <v>-2.290287066</v>
      </c>
      <c r="E87" s="74">
        <f>'Аэрофлот'!M24*100/'Аэрофлот'!M6</f>
        <v>6.421681052</v>
      </c>
    </row>
    <row r="88">
      <c r="A88" s="79" t="s">
        <v>96</v>
      </c>
      <c r="B88" s="80" t="s">
        <v>35</v>
      </c>
      <c r="C88" s="74">
        <f>'Аэрофлот'!K24*100/(('Аэрофлот'!B28+'Аэрофлот'!C28)/2)</f>
        <v>-3.242296253</v>
      </c>
      <c r="D88" s="74">
        <f>'Аэрофлот'!L24*100/(('Аэрофлот'!C28+'Аэрофлот'!D28)/2)</f>
        <v>-1.26118525</v>
      </c>
      <c r="E88" s="74">
        <f>'Аэрофлот'!M24*100/(('Аэрофлот'!D28+'Аэрофлот'!E28)/2)</f>
        <v>4.845634569</v>
      </c>
    </row>
    <row r="89">
      <c r="A89" s="5" t="s">
        <v>97</v>
      </c>
      <c r="B89" s="80" t="s">
        <v>35</v>
      </c>
      <c r="C89" s="74">
        <f>('Аэрофлот'!K24)*100/(('Аэрофлот'!B65+'Аэрофлот'!C65)/2)</f>
        <v>26.32704825</v>
      </c>
      <c r="D89" s="74">
        <f>('Аэрофлот'!L24)*100/(('Аэрофлот'!C65+'Аэрофлот'!D65)/2)</f>
        <v>11.43675161</v>
      </c>
      <c r="E89" s="74">
        <f>('Аэрофлот'!M24)*100/(('Аэрофлот'!D65+'Аэрофлот'!E65)/2)</f>
        <v>-64.25655909</v>
      </c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17">
      <c r="A117" s="81"/>
    </row>
    <row r="118">
      <c r="A118" s="19" t="s">
        <v>98</v>
      </c>
    </row>
    <row r="119">
      <c r="A119" s="81" t="s">
        <v>99</v>
      </c>
      <c r="B119" s="82">
        <v>933318.0</v>
      </c>
    </row>
    <row r="120">
      <c r="A120" s="83" t="s">
        <v>15</v>
      </c>
      <c r="B120" s="84">
        <v>96467.0</v>
      </c>
    </row>
    <row r="121">
      <c r="A121" s="81" t="s">
        <v>100</v>
      </c>
      <c r="B121" s="85">
        <v>71737.0</v>
      </c>
    </row>
    <row r="122">
      <c r="A122" s="81" t="s">
        <v>101</v>
      </c>
      <c r="B122" s="81">
        <v>1950.0</v>
      </c>
    </row>
  </sheetData>
  <mergeCells count="5">
    <mergeCell ref="A1:E1"/>
    <mergeCell ref="I1:M1"/>
    <mergeCell ref="A2:E2"/>
    <mergeCell ref="I2:M2"/>
    <mergeCell ref="J31:M31"/>
  </mergeCells>
  <hyperlinks>
    <hyperlink r:id="rId1" ref="J31"/>
  </hyperlinks>
  <drawing r:id="rId2"/>
  <tableParts count="5"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75"/>
    <col customWidth="1" min="3" max="3" width="16.75"/>
    <col customWidth="1" min="8" max="8" width="138.25"/>
    <col customWidth="1" min="12" max="12" width="13.5"/>
  </cols>
  <sheetData>
    <row r="1">
      <c r="A1" s="1" t="s">
        <v>0</v>
      </c>
      <c r="H1" s="1" t="s">
        <v>1</v>
      </c>
    </row>
    <row r="2">
      <c r="A2" s="2" t="s">
        <v>2</v>
      </c>
      <c r="H2" s="2" t="s">
        <v>3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H3" s="3"/>
      <c r="I3" s="4" t="s">
        <v>4</v>
      </c>
      <c r="J3" s="4" t="s">
        <v>5</v>
      </c>
      <c r="K3" s="4" t="s">
        <v>6</v>
      </c>
      <c r="L3" s="4" t="s">
        <v>7</v>
      </c>
    </row>
    <row r="4">
      <c r="A4" s="86" t="s">
        <v>8</v>
      </c>
      <c r="H4" s="15" t="s">
        <v>102</v>
      </c>
      <c r="I4" s="87"/>
      <c r="J4" s="87"/>
      <c r="K4" s="87"/>
      <c r="L4" s="87"/>
    </row>
    <row r="5">
      <c r="A5" s="33"/>
      <c r="B5" s="5"/>
      <c r="C5" s="5"/>
      <c r="D5" s="5"/>
      <c r="E5" s="5"/>
    </row>
    <row r="6">
      <c r="A6" s="88" t="s">
        <v>103</v>
      </c>
      <c r="B6" s="89"/>
      <c r="C6" s="89"/>
      <c r="D6" s="89"/>
      <c r="E6" s="89"/>
      <c r="H6" s="90" t="s">
        <v>13</v>
      </c>
      <c r="I6" s="91">
        <v>498316.0</v>
      </c>
      <c r="J6" s="91">
        <v>790764.0</v>
      </c>
      <c r="K6" s="91">
        <v>1905722.0</v>
      </c>
      <c r="L6" s="91">
        <v>2312238.0</v>
      </c>
    </row>
    <row r="7">
      <c r="A7" s="92" t="s">
        <v>104</v>
      </c>
      <c r="B7" s="93">
        <v>5550.0</v>
      </c>
      <c r="C7" s="93">
        <v>6512.0</v>
      </c>
      <c r="D7" s="93">
        <v>36218.0</v>
      </c>
      <c r="E7" s="93">
        <v>113526.0</v>
      </c>
      <c r="H7" s="94" t="s">
        <v>105</v>
      </c>
      <c r="I7" s="95">
        <v>-471972.0</v>
      </c>
      <c r="J7" s="95">
        <v>-615828.0</v>
      </c>
      <c r="K7" s="95">
        <v>-1461460.0</v>
      </c>
      <c r="L7" s="95">
        <v>-1871394.0</v>
      </c>
    </row>
    <row r="8">
      <c r="A8" s="89" t="s">
        <v>106</v>
      </c>
      <c r="B8" s="96"/>
      <c r="C8" s="96"/>
      <c r="D8" s="96"/>
      <c r="E8" s="96"/>
      <c r="H8" s="97" t="s">
        <v>107</v>
      </c>
      <c r="I8" s="91">
        <v>26344.0</v>
      </c>
      <c r="J8" s="91">
        <v>174936.0</v>
      </c>
      <c r="K8" s="91">
        <v>444262.0</v>
      </c>
      <c r="L8" s="91">
        <v>440844.0</v>
      </c>
    </row>
    <row r="9" ht="17.25" customHeight="1">
      <c r="A9" s="98" t="s">
        <v>108</v>
      </c>
      <c r="B9" s="93" t="s">
        <v>35</v>
      </c>
      <c r="C9" s="93" t="s">
        <v>35</v>
      </c>
      <c r="D9" s="93" t="s">
        <v>35</v>
      </c>
      <c r="E9" s="93">
        <v>1224.0</v>
      </c>
    </row>
    <row r="10">
      <c r="A10" s="99" t="s">
        <v>109</v>
      </c>
      <c r="B10" s="96">
        <v>88800.0</v>
      </c>
      <c r="C10" s="96">
        <v>64084.0</v>
      </c>
      <c r="D10" s="96">
        <v>126945.0</v>
      </c>
      <c r="E10" s="96">
        <v>127704.0</v>
      </c>
      <c r="H10" s="90" t="s">
        <v>110</v>
      </c>
      <c r="I10" s="91">
        <v>-16206.0</v>
      </c>
      <c r="J10" s="91">
        <v>-18796.0</v>
      </c>
      <c r="K10" s="91">
        <v>-40859.0</v>
      </c>
      <c r="L10" s="91">
        <v>-57528.0</v>
      </c>
    </row>
    <row r="11">
      <c r="A11" s="100" t="s">
        <v>111</v>
      </c>
      <c r="B11" s="93">
        <v>18944.0</v>
      </c>
      <c r="C11" s="93">
        <v>17538.0</v>
      </c>
      <c r="D11" s="93">
        <v>45227.0</v>
      </c>
      <c r="E11" s="93">
        <v>65688.0</v>
      </c>
      <c r="H11" s="94" t="s">
        <v>112</v>
      </c>
      <c r="I11" s="95">
        <v>-49358.0</v>
      </c>
      <c r="J11" s="95">
        <v>-61790.0</v>
      </c>
      <c r="K11" s="95">
        <v>-160160.0</v>
      </c>
      <c r="L11" s="95">
        <v>-187476.0</v>
      </c>
    </row>
    <row r="12">
      <c r="A12" s="98" t="s">
        <v>113</v>
      </c>
      <c r="B12" s="93" t="s">
        <v>35</v>
      </c>
      <c r="C12" s="93" t="s">
        <v>35</v>
      </c>
      <c r="D12" s="93">
        <v>3913.0</v>
      </c>
      <c r="E12" s="93">
        <v>4386.0</v>
      </c>
      <c r="H12" s="90" t="s">
        <v>114</v>
      </c>
      <c r="I12" s="91">
        <v>24420.0</v>
      </c>
      <c r="J12" s="91">
        <v>12876.0</v>
      </c>
      <c r="K12" s="91">
        <v>46319.0</v>
      </c>
      <c r="L12" s="91">
        <v>61812.0</v>
      </c>
    </row>
    <row r="13">
      <c r="A13" s="100" t="s">
        <v>31</v>
      </c>
      <c r="B13" s="93">
        <v>306730.0</v>
      </c>
      <c r="C13" s="93">
        <v>322936.0</v>
      </c>
      <c r="D13" s="93">
        <v>552825.0</v>
      </c>
      <c r="E13" s="93">
        <v>719610.0</v>
      </c>
      <c r="H13" s="94" t="s">
        <v>115</v>
      </c>
      <c r="I13" s="95">
        <v>-4070.0</v>
      </c>
      <c r="J13" s="95">
        <v>-2590.0</v>
      </c>
      <c r="K13" s="95">
        <v>-29393.0</v>
      </c>
      <c r="L13" s="95">
        <v>-11526.0</v>
      </c>
    </row>
    <row r="14">
      <c r="A14" s="100" t="s">
        <v>29</v>
      </c>
      <c r="B14" s="93">
        <v>1093498.0</v>
      </c>
      <c r="C14" s="93">
        <v>1118140.0</v>
      </c>
      <c r="D14" s="93">
        <v>1540448.0</v>
      </c>
      <c r="E14" s="93">
        <v>1797750.0</v>
      </c>
      <c r="H14" s="97" t="s">
        <v>116</v>
      </c>
      <c r="I14" s="91">
        <v>-18870.0</v>
      </c>
      <c r="J14" s="91">
        <v>104636.0</v>
      </c>
      <c r="K14" s="91">
        <v>260169.0</v>
      </c>
      <c r="L14" s="91">
        <v>246126.0</v>
      </c>
    </row>
    <row r="15">
      <c r="A15" s="101" t="s">
        <v>40</v>
      </c>
      <c r="B15" s="93"/>
      <c r="C15" s="93"/>
      <c r="D15" s="93"/>
      <c r="E15" s="93"/>
    </row>
    <row r="16">
      <c r="A16" s="100" t="s">
        <v>117</v>
      </c>
      <c r="B16" s="93">
        <v>6586.0</v>
      </c>
      <c r="C16" s="93">
        <v>6068.0</v>
      </c>
      <c r="D16" s="93">
        <v>7917.0</v>
      </c>
      <c r="E16" s="93">
        <v>11424.0</v>
      </c>
      <c r="H16" s="90" t="s">
        <v>118</v>
      </c>
      <c r="I16" s="91">
        <v>14060.0</v>
      </c>
      <c r="J16" s="91">
        <v>15318.0</v>
      </c>
      <c r="K16" s="91">
        <v>84903.0</v>
      </c>
      <c r="L16" s="91">
        <v>170136.0</v>
      </c>
    </row>
    <row r="17">
      <c r="A17" s="100" t="s">
        <v>119</v>
      </c>
      <c r="B17" s="93">
        <v>888.0</v>
      </c>
      <c r="C17" s="93">
        <v>888.0</v>
      </c>
      <c r="D17" s="93">
        <v>2457.0</v>
      </c>
      <c r="E17" s="93">
        <v>2754.0</v>
      </c>
      <c r="H17" s="94" t="s">
        <v>120</v>
      </c>
      <c r="I17" s="95">
        <v>-814.0</v>
      </c>
      <c r="J17" s="95">
        <v>-518.0</v>
      </c>
      <c r="K17" s="95">
        <v>-5915.0</v>
      </c>
      <c r="L17" s="95">
        <v>-7650.0</v>
      </c>
    </row>
    <row r="18">
      <c r="A18" s="100" t="s">
        <v>121</v>
      </c>
      <c r="B18" s="93">
        <v>59052.0</v>
      </c>
      <c r="C18" s="93">
        <v>62086.0</v>
      </c>
      <c r="D18" s="93">
        <v>117754.0</v>
      </c>
      <c r="E18" s="93">
        <v>172992.0</v>
      </c>
      <c r="H18" s="90" t="s">
        <v>122</v>
      </c>
      <c r="I18" s="91">
        <v>-6438.0</v>
      </c>
      <c r="J18" s="91">
        <v>5550.0</v>
      </c>
      <c r="K18" s="91">
        <v>21112.0</v>
      </c>
      <c r="L18" s="91">
        <v>17952.0</v>
      </c>
    </row>
    <row r="19">
      <c r="A19" s="98" t="s">
        <v>123</v>
      </c>
      <c r="B19" s="93" t="s">
        <v>35</v>
      </c>
      <c r="C19" s="93">
        <v>74.0</v>
      </c>
      <c r="D19" s="93">
        <v>30212.0</v>
      </c>
      <c r="E19" s="93">
        <v>41004.0</v>
      </c>
      <c r="H19" s="102" t="s">
        <v>124</v>
      </c>
      <c r="I19" s="95">
        <v>-12062.0</v>
      </c>
      <c r="J19" s="95">
        <v>124986.0</v>
      </c>
      <c r="K19" s="95">
        <v>360269.0</v>
      </c>
      <c r="L19" s="95">
        <v>426564.0</v>
      </c>
    </row>
    <row r="20">
      <c r="A20" s="86" t="s">
        <v>125</v>
      </c>
      <c r="B20" s="93">
        <v>1580048.0</v>
      </c>
      <c r="C20" s="93">
        <v>1598326.0</v>
      </c>
      <c r="D20" s="93">
        <v>2463916.0</v>
      </c>
      <c r="E20" s="93">
        <v>3058062.0</v>
      </c>
    </row>
    <row r="21">
      <c r="A21" s="103"/>
      <c r="B21" s="103"/>
      <c r="C21" s="103"/>
      <c r="D21" s="103"/>
      <c r="E21" s="103"/>
      <c r="H21" s="94" t="s">
        <v>30</v>
      </c>
      <c r="I21" s="95">
        <v>5328.0</v>
      </c>
      <c r="J21" s="95">
        <v>7474.0</v>
      </c>
      <c r="K21" s="95">
        <v>55601.0</v>
      </c>
      <c r="L21" s="95">
        <v>101082.0</v>
      </c>
    </row>
    <row r="22">
      <c r="A22" s="86" t="s">
        <v>126</v>
      </c>
      <c r="B22" s="93"/>
      <c r="C22" s="93"/>
      <c r="D22" s="93"/>
      <c r="E22" s="93"/>
      <c r="H22" s="90" t="s">
        <v>32</v>
      </c>
      <c r="I22" s="91">
        <v>-61790.0</v>
      </c>
      <c r="J22" s="91">
        <v>-56758.0</v>
      </c>
      <c r="K22" s="91">
        <v>-84721.0</v>
      </c>
      <c r="L22" s="91">
        <v>-155856.0</v>
      </c>
    </row>
    <row r="23">
      <c r="A23" s="100" t="s">
        <v>127</v>
      </c>
      <c r="B23" s="93">
        <v>134014.0</v>
      </c>
      <c r="C23" s="93">
        <v>198098.0</v>
      </c>
      <c r="D23" s="93">
        <v>62153.0</v>
      </c>
      <c r="E23" s="93">
        <v>277542.0</v>
      </c>
      <c r="H23" s="104" t="s">
        <v>128</v>
      </c>
      <c r="I23" s="95" t="s">
        <v>35</v>
      </c>
      <c r="J23" s="95" t="s">
        <v>35</v>
      </c>
      <c r="K23" s="95">
        <v>182.0</v>
      </c>
      <c r="L23" s="95">
        <v>204.0</v>
      </c>
    </row>
    <row r="24">
      <c r="A24" s="100" t="s">
        <v>104</v>
      </c>
      <c r="B24" s="93">
        <v>1332.0</v>
      </c>
      <c r="C24" s="93">
        <v>370.0</v>
      </c>
      <c r="D24" s="93">
        <v>486304.0</v>
      </c>
      <c r="E24" s="93">
        <v>341292.0</v>
      </c>
      <c r="H24" s="97" t="s">
        <v>129</v>
      </c>
      <c r="I24" s="91">
        <v>-68524.0</v>
      </c>
      <c r="J24" s="91">
        <v>75702.0</v>
      </c>
      <c r="K24" s="91">
        <v>331331.0</v>
      </c>
      <c r="L24" s="91">
        <v>371994.0</v>
      </c>
    </row>
    <row r="25">
      <c r="A25" s="101" t="s">
        <v>130</v>
      </c>
      <c r="B25" s="93"/>
      <c r="C25" s="93"/>
      <c r="D25" s="93"/>
      <c r="E25" s="93"/>
    </row>
    <row r="26">
      <c r="A26" s="100" t="s">
        <v>108</v>
      </c>
      <c r="B26" s="93">
        <v>1332.0</v>
      </c>
      <c r="C26" s="93">
        <v>1776.0</v>
      </c>
      <c r="D26" s="93">
        <v>4550.0</v>
      </c>
      <c r="E26" s="93">
        <v>4386.0</v>
      </c>
      <c r="H26" s="105" t="s">
        <v>131</v>
      </c>
      <c r="I26" s="91">
        <v>6660.0</v>
      </c>
      <c r="J26" s="91">
        <v>-4736.0</v>
      </c>
      <c r="K26" s="91">
        <v>216580.0</v>
      </c>
      <c r="L26" s="91">
        <v>-22644.0</v>
      </c>
    </row>
    <row r="27">
      <c r="A27" s="100" t="s">
        <v>109</v>
      </c>
      <c r="B27" s="93">
        <v>45806.0</v>
      </c>
      <c r="C27" s="93">
        <v>66674.0</v>
      </c>
      <c r="D27" s="93">
        <v>73346.0</v>
      </c>
      <c r="E27" s="93">
        <v>87924.0</v>
      </c>
      <c r="H27" s="94" t="s">
        <v>132</v>
      </c>
      <c r="I27" s="95" t="s">
        <v>35</v>
      </c>
      <c r="J27" s="95">
        <v>-2072.0</v>
      </c>
      <c r="K27" s="95">
        <v>-6006.0</v>
      </c>
      <c r="L27" s="95">
        <v>-39474.0</v>
      </c>
    </row>
    <row r="28">
      <c r="A28" s="101" t="s">
        <v>106</v>
      </c>
      <c r="B28" s="93"/>
      <c r="C28" s="93"/>
      <c r="D28" s="93"/>
      <c r="E28" s="93"/>
      <c r="H28" s="90" t="s">
        <v>133</v>
      </c>
      <c r="I28" s="91">
        <v>6660.0</v>
      </c>
      <c r="J28" s="91">
        <v>-2664.0</v>
      </c>
      <c r="K28" s="91">
        <v>222586.0</v>
      </c>
      <c r="L28" s="91">
        <v>16830.0</v>
      </c>
    </row>
    <row r="29">
      <c r="A29" s="100" t="s">
        <v>108</v>
      </c>
      <c r="B29" s="93">
        <v>444.0</v>
      </c>
      <c r="C29" s="93">
        <v>444.0</v>
      </c>
      <c r="D29" s="93">
        <v>819.0</v>
      </c>
      <c r="E29" s="93">
        <v>918.0</v>
      </c>
      <c r="H29" s="104" t="s">
        <v>134</v>
      </c>
      <c r="I29" s="95" t="s">
        <v>35</v>
      </c>
      <c r="J29" s="95">
        <v>-2664.0</v>
      </c>
      <c r="K29" s="95">
        <v>-54327.0</v>
      </c>
      <c r="L29" s="95" t="s">
        <v>35</v>
      </c>
    </row>
    <row r="30">
      <c r="A30" s="100" t="s">
        <v>109</v>
      </c>
      <c r="B30" s="93">
        <v>81030.0</v>
      </c>
      <c r="C30" s="93">
        <v>58534.0</v>
      </c>
      <c r="D30" s="93">
        <v>80080.0</v>
      </c>
      <c r="E30" s="93">
        <v>138618.0</v>
      </c>
      <c r="H30" s="106" t="s">
        <v>135</v>
      </c>
      <c r="I30" s="91" t="s">
        <v>35</v>
      </c>
      <c r="J30" s="91" t="s">
        <v>35</v>
      </c>
      <c r="K30" s="91">
        <v>276913.0</v>
      </c>
      <c r="L30" s="91" t="s">
        <v>35</v>
      </c>
    </row>
    <row r="31">
      <c r="A31" s="100" t="s">
        <v>136</v>
      </c>
      <c r="B31" s="93">
        <v>148.0</v>
      </c>
      <c r="C31" s="93">
        <v>4366.0</v>
      </c>
      <c r="D31" s="93">
        <v>1638.0</v>
      </c>
      <c r="E31" s="93">
        <v>12138.0</v>
      </c>
      <c r="H31" s="102" t="s">
        <v>137</v>
      </c>
      <c r="I31" s="95">
        <v>-61864.0</v>
      </c>
      <c r="J31" s="95">
        <v>70966.0</v>
      </c>
      <c r="K31" s="95">
        <v>547911.0</v>
      </c>
      <c r="L31" s="95">
        <v>349350.0</v>
      </c>
    </row>
    <row r="32">
      <c r="A32" s="100" t="s">
        <v>138</v>
      </c>
      <c r="B32" s="93">
        <v>22570.0</v>
      </c>
      <c r="C32" s="93">
        <v>19314.0</v>
      </c>
      <c r="D32" s="93">
        <v>38038.0</v>
      </c>
      <c r="E32" s="93">
        <v>68442.0</v>
      </c>
      <c r="H32" s="107"/>
      <c r="I32" s="91"/>
      <c r="J32" s="91"/>
      <c r="K32" s="91"/>
      <c r="L32" s="91"/>
    </row>
    <row r="33">
      <c r="A33" s="100" t="s">
        <v>139</v>
      </c>
      <c r="B33" s="93">
        <v>10434.0</v>
      </c>
      <c r="C33" s="93">
        <v>8436.0</v>
      </c>
      <c r="D33" s="93">
        <v>21567.0</v>
      </c>
      <c r="E33" s="93">
        <v>30804.0</v>
      </c>
      <c r="H33" s="108"/>
      <c r="I33" s="95"/>
      <c r="J33" s="95"/>
      <c r="K33" s="95"/>
      <c r="L33" s="95"/>
    </row>
    <row r="34">
      <c r="A34" s="100" t="s">
        <v>140</v>
      </c>
      <c r="B34" s="93">
        <v>2812.0</v>
      </c>
      <c r="C34" s="93">
        <v>1480.0</v>
      </c>
      <c r="D34" s="93">
        <v>3731.0</v>
      </c>
      <c r="E34" s="93">
        <v>2958.0</v>
      </c>
      <c r="H34" s="97" t="s">
        <v>141</v>
      </c>
      <c r="I34" s="91"/>
      <c r="J34" s="91"/>
      <c r="K34" s="91"/>
      <c r="L34" s="91"/>
    </row>
    <row r="35">
      <c r="A35" s="100" t="s">
        <v>142</v>
      </c>
      <c r="B35" s="93">
        <v>9250.0</v>
      </c>
      <c r="C35" s="93">
        <v>5920.0</v>
      </c>
      <c r="D35" s="93">
        <v>9919.0</v>
      </c>
      <c r="E35" s="93">
        <v>23664.0</v>
      </c>
    </row>
    <row r="36">
      <c r="A36" s="86" t="s">
        <v>143</v>
      </c>
      <c r="B36" s="93">
        <v>309172.0</v>
      </c>
      <c r="C36" s="93">
        <v>365412.0</v>
      </c>
      <c r="D36" s="93">
        <v>782145.0</v>
      </c>
      <c r="E36" s="93">
        <v>988686.0</v>
      </c>
      <c r="H36" s="105" t="s">
        <v>144</v>
      </c>
      <c r="I36" s="91">
        <v>-46990.0</v>
      </c>
      <c r="J36" s="91">
        <v>38332.0</v>
      </c>
      <c r="K36" s="91">
        <v>-11466.0</v>
      </c>
      <c r="L36" s="91">
        <v>34986.0</v>
      </c>
    </row>
    <row r="37">
      <c r="A37" s="103"/>
      <c r="B37" s="103"/>
      <c r="C37" s="103"/>
      <c r="D37" s="103"/>
      <c r="E37" s="103"/>
      <c r="H37" s="94" t="s">
        <v>145</v>
      </c>
      <c r="I37" s="95">
        <v>-1258.0</v>
      </c>
      <c r="J37" s="95">
        <v>-5476.0</v>
      </c>
      <c r="K37" s="95">
        <v>6643.0</v>
      </c>
      <c r="L37" s="95">
        <v>714.0</v>
      </c>
    </row>
    <row r="38">
      <c r="A38" s="86" t="s">
        <v>51</v>
      </c>
      <c r="B38" s="93">
        <v>1889220.0</v>
      </c>
      <c r="C38" s="93">
        <v>1963738.0</v>
      </c>
      <c r="D38" s="93">
        <v>3246061.0</v>
      </c>
      <c r="E38" s="93">
        <v>4046748.0</v>
      </c>
      <c r="H38" s="90" t="s">
        <v>146</v>
      </c>
      <c r="I38" s="91">
        <v>296.0</v>
      </c>
      <c r="J38" s="91">
        <v>-814.0</v>
      </c>
      <c r="K38" s="91">
        <v>3185.0</v>
      </c>
      <c r="L38" s="91">
        <v>-306.0</v>
      </c>
    </row>
    <row r="39">
      <c r="A39" s="109"/>
      <c r="B39" s="103"/>
      <c r="C39" s="103"/>
      <c r="D39" s="103"/>
      <c r="E39" s="103"/>
      <c r="H39" s="94" t="s">
        <v>147</v>
      </c>
      <c r="I39" s="95">
        <v>-56684.0</v>
      </c>
      <c r="J39" s="95">
        <v>54612.0</v>
      </c>
      <c r="K39" s="95">
        <v>-25298.0</v>
      </c>
      <c r="L39" s="95">
        <v>42942.0</v>
      </c>
    </row>
    <row r="40">
      <c r="A40" s="103"/>
      <c r="B40" s="103"/>
      <c r="C40" s="103"/>
      <c r="D40" s="103"/>
      <c r="E40" s="103"/>
      <c r="H40" s="90" t="s">
        <v>148</v>
      </c>
      <c r="I40" s="91">
        <v>-814.0</v>
      </c>
      <c r="J40" s="91">
        <v>962.0</v>
      </c>
      <c r="K40" s="91">
        <v>-819.0</v>
      </c>
      <c r="L40" s="91">
        <v>1530.0</v>
      </c>
    </row>
    <row r="41">
      <c r="A41" s="86" t="s">
        <v>53</v>
      </c>
      <c r="B41" s="93"/>
      <c r="C41" s="93"/>
      <c r="D41" s="93"/>
      <c r="E41" s="93"/>
      <c r="H41" s="94" t="s">
        <v>149</v>
      </c>
      <c r="I41" s="95">
        <v>11470.0</v>
      </c>
      <c r="J41" s="95">
        <v>-10952.0</v>
      </c>
      <c r="K41" s="95">
        <v>4823.0</v>
      </c>
      <c r="L41" s="95">
        <v>-9894.0</v>
      </c>
    </row>
    <row r="42">
      <c r="A42" s="103"/>
      <c r="B42" s="103"/>
      <c r="C42" s="103"/>
      <c r="D42" s="103"/>
      <c r="E42" s="103"/>
      <c r="H42" s="105" t="s">
        <v>150</v>
      </c>
      <c r="I42" s="91">
        <v>-740.0</v>
      </c>
      <c r="J42" s="91">
        <v>-1702.0</v>
      </c>
      <c r="K42" s="91">
        <v>-4186.0</v>
      </c>
      <c r="L42" s="91">
        <v>-1020.0</v>
      </c>
    </row>
    <row r="43">
      <c r="A43" s="86" t="s">
        <v>151</v>
      </c>
      <c r="B43" s="93"/>
      <c r="C43" s="93"/>
      <c r="D43" s="93"/>
      <c r="E43" s="93"/>
      <c r="H43" s="94" t="s">
        <v>152</v>
      </c>
      <c r="I43" s="95">
        <v>-962.0</v>
      </c>
      <c r="J43" s="95">
        <v>-2146.0</v>
      </c>
      <c r="K43" s="95">
        <v>-5096.0</v>
      </c>
      <c r="L43" s="95">
        <v>-1224.0</v>
      </c>
    </row>
    <row r="44">
      <c r="A44" s="100" t="s">
        <v>72</v>
      </c>
      <c r="B44" s="93">
        <v>118178.0</v>
      </c>
      <c r="C44" s="93">
        <v>118178.0</v>
      </c>
      <c r="D44" s="93">
        <v>145327.0</v>
      </c>
      <c r="E44" s="93">
        <v>162894.0</v>
      </c>
      <c r="H44" s="90" t="s">
        <v>149</v>
      </c>
      <c r="I44" s="91">
        <v>222.0</v>
      </c>
      <c r="J44" s="91">
        <v>444.0</v>
      </c>
      <c r="K44" s="91">
        <v>910.0</v>
      </c>
      <c r="L44" s="91">
        <v>204.0</v>
      </c>
    </row>
    <row r="45">
      <c r="A45" s="101" t="s">
        <v>150</v>
      </c>
      <c r="B45" s="93"/>
      <c r="C45" s="93"/>
      <c r="D45" s="93"/>
      <c r="E45" s="93"/>
      <c r="H45" s="102" t="s">
        <v>153</v>
      </c>
      <c r="I45" s="95">
        <v>-47730.0</v>
      </c>
      <c r="J45" s="95">
        <v>36630.0</v>
      </c>
      <c r="K45" s="95">
        <v>-15652.0</v>
      </c>
      <c r="L45" s="95">
        <v>33966.0</v>
      </c>
    </row>
    <row r="46">
      <c r="A46" s="98" t="s">
        <v>154</v>
      </c>
      <c r="B46" s="93" t="s">
        <v>35</v>
      </c>
      <c r="C46" s="93" t="s">
        <v>35</v>
      </c>
      <c r="D46" s="93">
        <v>-3003.0</v>
      </c>
      <c r="E46" s="93">
        <v>-3978.0</v>
      </c>
    </row>
    <row r="47">
      <c r="A47" s="100" t="s">
        <v>155</v>
      </c>
      <c r="B47" s="93">
        <v>-3552.0</v>
      </c>
      <c r="C47" s="93">
        <v>-5254.0</v>
      </c>
      <c r="D47" s="93">
        <v>-24934.0</v>
      </c>
      <c r="E47" s="93">
        <v>-28968.0</v>
      </c>
      <c r="H47" s="102" t="s">
        <v>156</v>
      </c>
      <c r="I47" s="95">
        <v>-109594.0</v>
      </c>
      <c r="J47" s="95">
        <v>107596.0</v>
      </c>
      <c r="K47" s="95">
        <v>532259.0</v>
      </c>
      <c r="L47" s="95">
        <v>383316.0</v>
      </c>
    </row>
    <row r="48">
      <c r="A48" s="101" t="s">
        <v>157</v>
      </c>
      <c r="B48" s="93"/>
      <c r="C48" s="93"/>
      <c r="D48" s="93"/>
      <c r="E48" s="93"/>
      <c r="H48" s="90" t="s">
        <v>158</v>
      </c>
      <c r="I48" s="91">
        <v>-0.4514</v>
      </c>
      <c r="J48" s="91">
        <v>0.5106</v>
      </c>
      <c r="K48" s="91">
        <v>3.9676</v>
      </c>
      <c r="L48" s="91">
        <v>2.5296</v>
      </c>
      <c r="M48" s="110"/>
    </row>
    <row r="49">
      <c r="A49" s="100" t="s">
        <v>159</v>
      </c>
      <c r="B49" s="93">
        <v>-14874.0</v>
      </c>
      <c r="C49" s="93">
        <v>-20350.0</v>
      </c>
      <c r="D49" s="93">
        <v>-20111.0</v>
      </c>
      <c r="E49" s="93">
        <v>-21828.0</v>
      </c>
      <c r="H49" s="94" t="s">
        <v>160</v>
      </c>
      <c r="I49" s="95">
        <v>-0.4514</v>
      </c>
      <c r="J49" s="95">
        <v>0.5106</v>
      </c>
      <c r="K49" s="95">
        <v>3.9676</v>
      </c>
      <c r="L49" s="95">
        <v>2.5296</v>
      </c>
      <c r="M49" s="110"/>
    </row>
    <row r="50">
      <c r="A50" s="100" t="s">
        <v>161</v>
      </c>
      <c r="B50" s="93">
        <v>-33300.0</v>
      </c>
      <c r="C50" s="93">
        <v>11174.0</v>
      </c>
      <c r="D50" s="93">
        <v>25571.0</v>
      </c>
      <c r="E50" s="93">
        <v>63240.0</v>
      </c>
    </row>
    <row r="51">
      <c r="A51" s="100" t="s">
        <v>162</v>
      </c>
      <c r="B51" s="93">
        <v>148.0</v>
      </c>
      <c r="C51" s="93">
        <v>-518.0</v>
      </c>
      <c r="D51" s="93">
        <v>1911.0</v>
      </c>
      <c r="E51" s="93">
        <v>1836.0</v>
      </c>
    </row>
    <row r="52">
      <c r="A52" s="100" t="s">
        <v>163</v>
      </c>
      <c r="B52" s="93">
        <v>5328.0</v>
      </c>
      <c r="C52" s="93">
        <v>5624.0</v>
      </c>
      <c r="D52" s="93">
        <v>6279.0</v>
      </c>
      <c r="E52" s="93">
        <v>7650.0</v>
      </c>
      <c r="H52" s="20" t="s">
        <v>52</v>
      </c>
    </row>
    <row r="53">
      <c r="A53" s="100" t="s">
        <v>164</v>
      </c>
      <c r="B53" s="93">
        <v>388204.0</v>
      </c>
      <c r="C53" s="93">
        <v>326044.0</v>
      </c>
      <c r="D53" s="93">
        <v>736827.0</v>
      </c>
      <c r="E53" s="93">
        <v>1439424.0</v>
      </c>
      <c r="H53" s="111" t="s">
        <v>165</v>
      </c>
    </row>
    <row r="54">
      <c r="A54" s="100" t="s">
        <v>166</v>
      </c>
      <c r="B54" s="93">
        <v>-61864.0</v>
      </c>
      <c r="C54" s="93">
        <v>70966.0</v>
      </c>
      <c r="D54" s="93">
        <v>547911.0</v>
      </c>
      <c r="E54" s="93">
        <v>349350.0</v>
      </c>
      <c r="H54" s="111" t="s">
        <v>167</v>
      </c>
    </row>
    <row r="55">
      <c r="A55" s="101" t="s">
        <v>168</v>
      </c>
      <c r="B55" s="93">
        <v>398268.0</v>
      </c>
      <c r="C55" s="93">
        <v>505864.0</v>
      </c>
      <c r="D55" s="93">
        <v>1415778.0</v>
      </c>
      <c r="E55" s="93">
        <v>1969620.0</v>
      </c>
    </row>
    <row r="56">
      <c r="A56" s="100" t="s">
        <v>169</v>
      </c>
      <c r="B56" s="93">
        <v>74.0</v>
      </c>
      <c r="C56" s="93">
        <v>74.0</v>
      </c>
      <c r="D56" s="93">
        <v>455.0</v>
      </c>
      <c r="E56" s="93">
        <v>408.0</v>
      </c>
      <c r="H56" s="81" t="s">
        <v>170</v>
      </c>
      <c r="I56" s="112" t="s">
        <v>171</v>
      </c>
      <c r="J56" s="112" t="s">
        <v>171</v>
      </c>
      <c r="K56" s="112" t="s">
        <v>172</v>
      </c>
      <c r="L56" s="112" t="s">
        <v>173</v>
      </c>
    </row>
    <row r="57">
      <c r="A57" s="86" t="s">
        <v>80</v>
      </c>
      <c r="B57" s="93">
        <v>398342.0</v>
      </c>
      <c r="C57" s="93">
        <v>505938.0</v>
      </c>
      <c r="D57" s="93">
        <v>1416233.0</v>
      </c>
      <c r="E57" s="93">
        <v>1970028.0</v>
      </c>
      <c r="H57" s="111" t="s">
        <v>174</v>
      </c>
    </row>
    <row r="58">
      <c r="A58" s="103"/>
      <c r="B58" s="103"/>
      <c r="C58" s="103"/>
      <c r="D58" s="103"/>
      <c r="E58" s="103"/>
    </row>
    <row r="59">
      <c r="A59" s="86" t="s">
        <v>175</v>
      </c>
      <c r="B59" s="93"/>
      <c r="C59" s="93"/>
      <c r="D59" s="93"/>
      <c r="E59" s="93"/>
    </row>
    <row r="60">
      <c r="A60" s="100" t="s">
        <v>176</v>
      </c>
      <c r="B60" s="93">
        <v>198394.0</v>
      </c>
      <c r="C60" s="93">
        <v>172642.0</v>
      </c>
      <c r="D60" s="93">
        <v>42952.0</v>
      </c>
      <c r="E60" s="93">
        <v>3366.0</v>
      </c>
    </row>
    <row r="61">
      <c r="A61" s="100" t="s">
        <v>177</v>
      </c>
      <c r="B61" s="93">
        <v>708846.0</v>
      </c>
      <c r="C61" s="93">
        <v>634476.0</v>
      </c>
      <c r="D61" s="93">
        <v>914732.0</v>
      </c>
      <c r="E61" s="93">
        <v>1034178.0</v>
      </c>
    </row>
    <row r="62">
      <c r="A62" s="101" t="s">
        <v>178</v>
      </c>
      <c r="B62" s="93"/>
      <c r="C62" s="93"/>
      <c r="D62" s="93"/>
      <c r="E62" s="93"/>
    </row>
    <row r="63">
      <c r="A63" s="100" t="s">
        <v>109</v>
      </c>
      <c r="B63" s="93">
        <v>1628.0</v>
      </c>
      <c r="C63" s="93">
        <v>4070.0</v>
      </c>
      <c r="D63" s="93">
        <v>2275.0</v>
      </c>
      <c r="E63" s="93">
        <v>3264.0</v>
      </c>
    </row>
    <row r="64">
      <c r="A64" s="100" t="s">
        <v>179</v>
      </c>
      <c r="B64" s="93">
        <v>8066.0</v>
      </c>
      <c r="C64" s="93">
        <v>6808.0</v>
      </c>
      <c r="D64" s="93">
        <v>9828.0</v>
      </c>
      <c r="E64" s="93">
        <v>13362.0</v>
      </c>
    </row>
    <row r="65">
      <c r="A65" s="101" t="s">
        <v>180</v>
      </c>
      <c r="B65" s="93"/>
      <c r="C65" s="93"/>
      <c r="D65" s="93"/>
      <c r="E65" s="93"/>
    </row>
    <row r="66">
      <c r="A66" s="100" t="s">
        <v>181</v>
      </c>
      <c r="B66" s="93">
        <v>9916.0</v>
      </c>
      <c r="C66" s="93">
        <v>8362.0</v>
      </c>
      <c r="D66" s="93">
        <v>20839.0</v>
      </c>
      <c r="E66" s="93">
        <v>25194.0</v>
      </c>
    </row>
    <row r="67">
      <c r="A67" s="100" t="s">
        <v>182</v>
      </c>
      <c r="B67" s="93">
        <v>3626.0</v>
      </c>
      <c r="C67" s="93">
        <v>3404.0</v>
      </c>
      <c r="D67" s="93">
        <v>7735.0</v>
      </c>
      <c r="E67" s="93">
        <v>10914.0</v>
      </c>
    </row>
    <row r="68">
      <c r="A68" s="100" t="s">
        <v>183</v>
      </c>
      <c r="B68" s="93">
        <v>82806.0</v>
      </c>
      <c r="C68" s="93">
        <v>126836.0</v>
      </c>
      <c r="D68" s="93">
        <v>4550.0</v>
      </c>
      <c r="E68" s="93">
        <v>6630.0</v>
      </c>
    </row>
    <row r="69">
      <c r="A69" s="86" t="s">
        <v>184</v>
      </c>
      <c r="B69" s="93">
        <v>1013282.0</v>
      </c>
      <c r="C69" s="93">
        <v>956598.0</v>
      </c>
      <c r="D69" s="93">
        <v>1002911.0</v>
      </c>
      <c r="E69" s="93">
        <v>1096908.0</v>
      </c>
    </row>
    <row r="70">
      <c r="A70" s="103"/>
      <c r="B70" s="103"/>
      <c r="C70" s="103"/>
      <c r="D70" s="103"/>
      <c r="E70" s="103"/>
    </row>
    <row r="71">
      <c r="A71" s="86" t="s">
        <v>185</v>
      </c>
      <c r="B71" s="93"/>
      <c r="C71" s="93"/>
      <c r="D71" s="93"/>
      <c r="E71" s="93"/>
    </row>
    <row r="72">
      <c r="A72" s="100" t="s">
        <v>186</v>
      </c>
      <c r="B72" s="93">
        <v>112998.0</v>
      </c>
      <c r="C72" s="93">
        <v>65342.0</v>
      </c>
      <c r="D72" s="93">
        <v>122395.0</v>
      </c>
      <c r="E72" s="93">
        <v>160242.0</v>
      </c>
    </row>
    <row r="73">
      <c r="A73" s="100" t="s">
        <v>187</v>
      </c>
      <c r="B73" s="93">
        <v>87764.0</v>
      </c>
      <c r="C73" s="93">
        <v>106782.0</v>
      </c>
      <c r="D73" s="93">
        <v>56238.0</v>
      </c>
      <c r="E73" s="93">
        <v>29682.0</v>
      </c>
    </row>
    <row r="74">
      <c r="A74" s="100" t="s">
        <v>188</v>
      </c>
      <c r="B74" s="93">
        <v>127872.0</v>
      </c>
      <c r="C74" s="93">
        <v>123580.0</v>
      </c>
      <c r="D74" s="93">
        <v>160160.0</v>
      </c>
      <c r="E74" s="93">
        <v>186354.0</v>
      </c>
    </row>
    <row r="75">
      <c r="A75" s="100" t="s">
        <v>189</v>
      </c>
      <c r="B75" s="93">
        <v>1258.0</v>
      </c>
      <c r="C75" s="93">
        <v>592.0</v>
      </c>
      <c r="D75" s="93" t="s">
        <v>35</v>
      </c>
      <c r="E75" s="93" t="s">
        <v>35</v>
      </c>
    </row>
    <row r="76">
      <c r="A76" s="101" t="s">
        <v>190</v>
      </c>
      <c r="B76" s="93"/>
      <c r="C76" s="93"/>
      <c r="D76" s="93"/>
      <c r="E76" s="93"/>
    </row>
    <row r="77">
      <c r="A77" s="100" t="s">
        <v>108</v>
      </c>
      <c r="B77" s="93">
        <v>10434.0</v>
      </c>
      <c r="C77" s="93">
        <v>12358.0</v>
      </c>
      <c r="D77" s="93">
        <v>25935.0</v>
      </c>
      <c r="E77" s="93">
        <v>29886.0</v>
      </c>
    </row>
    <row r="78">
      <c r="A78" s="100" t="s">
        <v>109</v>
      </c>
      <c r="B78" s="93">
        <v>53280.0</v>
      </c>
      <c r="C78" s="93">
        <v>53576.0</v>
      </c>
      <c r="D78" s="93">
        <v>91546.0</v>
      </c>
      <c r="E78" s="93">
        <v>122502.0</v>
      </c>
    </row>
    <row r="79">
      <c r="A79" s="100" t="s">
        <v>191</v>
      </c>
      <c r="B79" s="93">
        <v>6660.0</v>
      </c>
      <c r="C79" s="93">
        <v>7770.0</v>
      </c>
      <c r="D79" s="93">
        <v>38038.0</v>
      </c>
      <c r="E79" s="93">
        <v>54672.0</v>
      </c>
    </row>
    <row r="80">
      <c r="A80" s="101" t="s">
        <v>178</v>
      </c>
      <c r="B80" s="93"/>
      <c r="C80" s="93"/>
      <c r="D80" s="93"/>
      <c r="E80" s="93"/>
    </row>
    <row r="81">
      <c r="A81" s="98" t="s">
        <v>108</v>
      </c>
      <c r="B81" s="93" t="s">
        <v>35</v>
      </c>
      <c r="C81" s="93">
        <v>370.0</v>
      </c>
      <c r="D81" s="93">
        <v>364.0</v>
      </c>
      <c r="E81" s="93">
        <v>102.0</v>
      </c>
    </row>
    <row r="82">
      <c r="A82" s="100" t="s">
        <v>109</v>
      </c>
      <c r="B82" s="93">
        <v>6512.0</v>
      </c>
      <c r="C82" s="93">
        <v>12506.0</v>
      </c>
      <c r="D82" s="93">
        <v>21658.0</v>
      </c>
      <c r="E82" s="93">
        <v>32130.0</v>
      </c>
    </row>
    <row r="83">
      <c r="A83" s="100" t="s">
        <v>136</v>
      </c>
      <c r="B83" s="93">
        <v>4736.0</v>
      </c>
      <c r="C83" s="93">
        <v>2072.0</v>
      </c>
      <c r="D83" s="93">
        <v>9191.0</v>
      </c>
      <c r="E83" s="93">
        <v>3774.0</v>
      </c>
    </row>
    <row r="84">
      <c r="A84" s="100" t="s">
        <v>192</v>
      </c>
      <c r="B84" s="93">
        <v>45436.0</v>
      </c>
      <c r="C84" s="93">
        <v>93536.0</v>
      </c>
      <c r="D84" s="93">
        <v>246155.0</v>
      </c>
      <c r="E84" s="93">
        <v>300288.0</v>
      </c>
    </row>
    <row r="85">
      <c r="A85" s="101" t="s">
        <v>193</v>
      </c>
      <c r="B85" s="93"/>
      <c r="C85" s="93"/>
      <c r="D85" s="93"/>
      <c r="E85" s="93"/>
    </row>
    <row r="86">
      <c r="A86" s="113" t="s">
        <v>194</v>
      </c>
      <c r="B86" s="93" t="s">
        <v>35</v>
      </c>
      <c r="C86" s="93">
        <v>1184.0</v>
      </c>
      <c r="D86" s="93">
        <v>3549.0</v>
      </c>
      <c r="E86" s="93" t="s">
        <v>35</v>
      </c>
    </row>
    <row r="87">
      <c r="A87" s="100" t="s">
        <v>181</v>
      </c>
      <c r="B87" s="93">
        <v>1184.0</v>
      </c>
      <c r="C87" s="93">
        <v>1332.0</v>
      </c>
      <c r="D87" s="93">
        <v>4550.0</v>
      </c>
      <c r="E87" s="93">
        <v>10302.0</v>
      </c>
    </row>
    <row r="88">
      <c r="A88" s="100" t="s">
        <v>182</v>
      </c>
      <c r="B88" s="93">
        <v>740.0</v>
      </c>
      <c r="C88" s="93">
        <v>592.0</v>
      </c>
      <c r="D88" s="93">
        <v>546.0</v>
      </c>
      <c r="E88" s="93">
        <v>1428.0</v>
      </c>
    </row>
    <row r="89">
      <c r="A89" s="100" t="s">
        <v>195</v>
      </c>
      <c r="B89" s="93">
        <v>18722.0</v>
      </c>
      <c r="C89" s="93">
        <v>19610.0</v>
      </c>
      <c r="D89" s="93">
        <v>46592.0</v>
      </c>
      <c r="E89" s="93">
        <v>48450.0</v>
      </c>
    </row>
    <row r="90">
      <c r="A90" s="86" t="s">
        <v>196</v>
      </c>
      <c r="B90" s="93">
        <v>477596.0</v>
      </c>
      <c r="C90" s="93">
        <v>501202.0</v>
      </c>
      <c r="D90" s="93">
        <v>826917.0</v>
      </c>
      <c r="E90" s="93">
        <v>979812.0</v>
      </c>
    </row>
    <row r="91">
      <c r="A91" s="103"/>
      <c r="B91" s="103"/>
      <c r="C91" s="103"/>
      <c r="D91" s="103"/>
      <c r="E91" s="103"/>
    </row>
    <row r="92">
      <c r="A92" s="86" t="s">
        <v>81</v>
      </c>
      <c r="B92" s="93">
        <v>1889220.0</v>
      </c>
      <c r="C92" s="93">
        <v>1963738.0</v>
      </c>
      <c r="D92" s="93">
        <v>3246061.0</v>
      </c>
      <c r="E92" s="93">
        <v>4046748.0</v>
      </c>
    </row>
    <row r="95">
      <c r="A95" s="71" t="s">
        <v>82</v>
      </c>
      <c r="B95" s="72"/>
      <c r="C95" s="72"/>
      <c r="D95" s="72"/>
      <c r="E95" s="72"/>
    </row>
    <row r="96">
      <c r="A96" s="44"/>
      <c r="B96" s="44"/>
      <c r="C96" s="44"/>
      <c r="D96" s="44"/>
      <c r="E96" s="44"/>
    </row>
    <row r="97">
      <c r="A97" s="73" t="s">
        <v>83</v>
      </c>
      <c r="B97" s="44"/>
      <c r="C97" s="44"/>
      <c r="D97" s="44"/>
      <c r="E97" s="44"/>
    </row>
    <row r="98">
      <c r="A98" s="5" t="s">
        <v>84</v>
      </c>
      <c r="B98" s="80">
        <f>TurkishAirlines!B36/TurkishAirlines!B90</f>
        <v>0.6473504803</v>
      </c>
      <c r="C98" s="80">
        <f>TurkishAirlines!C36/TurkishAirlines!C90</f>
        <v>0.7290713126</v>
      </c>
      <c r="D98" s="80">
        <f>TurkishAirlines!D36/TurkishAirlines!D90</f>
        <v>0.9458567184</v>
      </c>
      <c r="E98" s="80">
        <f>TurkishAirlines!E36/TurkishAirlines!E90</f>
        <v>1.009056839</v>
      </c>
    </row>
    <row r="99">
      <c r="A99" s="5" t="s">
        <v>85</v>
      </c>
      <c r="B99" s="114">
        <f>(TurkishAirlines!B36-TurkishAirlines!B32)/TurkishAirlines!B90</f>
        <v>0.6000929656</v>
      </c>
      <c r="C99" s="114">
        <f>(TurkishAirlines!C36-TurkishAirlines!C32)/TurkishAirlines!C90</f>
        <v>0.6905359516</v>
      </c>
      <c r="D99" s="114">
        <f>(TurkishAirlines!D36-TurkishAirlines!D32)/TurkishAirlines!D90</f>
        <v>0.8998569385</v>
      </c>
      <c r="E99" s="114">
        <f>(TurkishAirlines!E36-TurkishAirlines!E32)/TurkishAirlines!E90</f>
        <v>0.9392046638</v>
      </c>
    </row>
    <row r="100">
      <c r="A100" s="5" t="s">
        <v>86</v>
      </c>
      <c r="B100" s="80">
        <f>(TurkishAirlines!B23+TurkishAirlines!B24)/TurkishAirlines!B90</f>
        <v>0.2833901456</v>
      </c>
      <c r="C100" s="80">
        <f>(TurkishAirlines!C23+TurkishAirlines!C24)/TurkishAirlines!C90</f>
        <v>0.3959840543</v>
      </c>
      <c r="D100" s="80">
        <f>(TurkishAirlines!D23+TurkishAirlines!D24)/TurkishAirlines!D90</f>
        <v>0.6632551997</v>
      </c>
      <c r="E100" s="80">
        <f>(TurkishAirlines!E23+TurkishAirlines!E24)/TurkishAirlines!E90</f>
        <v>0.6315844264</v>
      </c>
    </row>
    <row r="101">
      <c r="A101" s="44"/>
      <c r="B101" s="76"/>
      <c r="C101" s="76"/>
      <c r="D101" s="76"/>
      <c r="E101" s="76"/>
    </row>
    <row r="102">
      <c r="A102" s="73" t="s">
        <v>87</v>
      </c>
      <c r="B102" s="74"/>
      <c r="C102" s="74"/>
      <c r="D102" s="74"/>
      <c r="E102" s="74"/>
    </row>
    <row r="103">
      <c r="A103" s="77" t="s">
        <v>88</v>
      </c>
      <c r="B103" s="80">
        <f>TurkishAirlines!B57/TurkishAirlines!B38</f>
        <v>0.2108499804</v>
      </c>
      <c r="C103" s="80">
        <f>TurkishAirlines!C57/TurkishAirlines!C38</f>
        <v>0.2576402758</v>
      </c>
      <c r="D103" s="80">
        <f>TurkishAirlines!D57/TurkishAirlines!D38</f>
        <v>0.4362927869</v>
      </c>
      <c r="E103" s="80">
        <f>TurkishAirlines!E57/TurkishAirlines!E38</f>
        <v>0.4868175631</v>
      </c>
    </row>
    <row r="104">
      <c r="A104" s="77" t="s">
        <v>89</v>
      </c>
      <c r="B104" s="80">
        <f>(TurkishAirlines!B69+TurkishAirlines!B90)/TurkishAirlines!B57</f>
        <v>3.742708527</v>
      </c>
      <c r="C104" s="80">
        <f>(TurkishAirlines!C69+TurkishAirlines!C90)/TurkishAirlines!C57</f>
        <v>2.881380723</v>
      </c>
      <c r="D104" s="80">
        <f>(TurkishAirlines!D69+TurkishAirlines!D90)/TurkishAirlines!D57</f>
        <v>1.29203881</v>
      </c>
      <c r="E104" s="80">
        <f>(TurkishAirlines!E69+TurkishAirlines!E90)/TurkishAirlines!E57</f>
        <v>1.054157606</v>
      </c>
    </row>
    <row r="105">
      <c r="A105" s="77" t="s">
        <v>90</v>
      </c>
      <c r="B105" s="80">
        <f>1/TurkishAirlines!B103</f>
        <v>4.742708527</v>
      </c>
      <c r="C105" s="80">
        <f>1/TurkishAirlines!C103</f>
        <v>3.881380723</v>
      </c>
      <c r="D105" s="80">
        <f>1/TurkishAirlines!D103</f>
        <v>2.29203881</v>
      </c>
      <c r="E105" s="80">
        <f>1/TurkishAirlines!E103</f>
        <v>2.054157606</v>
      </c>
    </row>
    <row r="106">
      <c r="A106" s="44"/>
      <c r="B106" s="76"/>
      <c r="C106" s="76"/>
      <c r="D106" s="76"/>
      <c r="E106" s="76"/>
    </row>
    <row r="107">
      <c r="A107" s="78" t="s">
        <v>91</v>
      </c>
      <c r="B107" s="76"/>
      <c r="C107" s="76"/>
      <c r="D107" s="76"/>
      <c r="E107" s="76"/>
    </row>
    <row r="108">
      <c r="A108" s="77" t="s">
        <v>92</v>
      </c>
      <c r="B108" s="115" t="s">
        <v>35</v>
      </c>
      <c r="C108" s="80">
        <f>TurkishAirlines!J6/((TurkishAirlines!C38+TurkishAirlines!B38)/2)</f>
        <v>0.4104711237</v>
      </c>
      <c r="D108" s="80">
        <f>TurkishAirlines!K6/((TurkishAirlines!D38+TurkishAirlines!C38)/2)</f>
        <v>0.7315913723</v>
      </c>
      <c r="E108" s="80">
        <f>TurkishAirlines!L6/((TurkishAirlines!E38+TurkishAirlines!D38)/2)</f>
        <v>0.6341145092</v>
      </c>
    </row>
    <row r="109">
      <c r="A109" s="77" t="s">
        <v>93</v>
      </c>
      <c r="B109" s="115" t="s">
        <v>35</v>
      </c>
      <c r="C109" s="80">
        <f>TurkishAirlines!J6/((TurkishAirlines!C10+TurkishAirlines!B10+TurkishAirlines!C26+TurkishAirlines!C27+TurkishAirlines!B26+TurkishAirlines!B27+TurkishAirlines!C29+TurkishAirlines!C30+TurkishAirlines!B29+TurkishAirlines!B30)/2)</f>
        <v>3.867535288</v>
      </c>
      <c r="D109" s="80">
        <f>TurkishAirlines!K6/((TurkishAirlines!D10+TurkishAirlines!C10+TurkishAirlines!D26+TurkishAirlines!D27+TurkishAirlines!C26+TurkishAirlines!C27+TurkishAirlines!D29+TurkishAirlines!D30+TurkishAirlines!C29+TurkishAirlines!C30)/2)</f>
        <v>7.986229497</v>
      </c>
      <c r="E109" s="80">
        <f>TurkishAirlines!L6/((TurkishAirlines!E9+TurkishAirlines!E10+TurkishAirlines!D10+TurkishAirlines!E26+TurkishAirlines!E27+TurkishAirlines!D26+TurkishAirlines!D27+TurkishAirlines!E29+TurkishAirlines!E30+TurkishAirlines!D29+TurkishAirlines!D30)/2)</f>
        <v>7.15294023</v>
      </c>
    </row>
    <row r="110">
      <c r="A110" s="44"/>
      <c r="B110" s="74"/>
      <c r="C110" s="74"/>
      <c r="D110" s="74"/>
      <c r="E110" s="74"/>
    </row>
    <row r="111">
      <c r="A111" s="78" t="s">
        <v>94</v>
      </c>
      <c r="B111" s="74"/>
      <c r="C111" s="74"/>
      <c r="D111" s="74"/>
      <c r="E111" s="74"/>
    </row>
    <row r="112">
      <c r="A112" s="77" t="s">
        <v>95</v>
      </c>
      <c r="B112" s="115">
        <f>TurkishAirlines!I31*100/TurkishAirlines!I6</f>
        <v>-12.41461241</v>
      </c>
      <c r="C112" s="115">
        <f>TurkishAirlines!J31*100/TurkishAirlines!J6</f>
        <v>8.974358974</v>
      </c>
      <c r="D112" s="115">
        <f>TurkishAirlines!K31*100/TurkishAirlines!K6</f>
        <v>28.75083564</v>
      </c>
      <c r="E112" s="115">
        <f>TurkishAirlines!L31*100/TurkishAirlines!L6</f>
        <v>15.10873881</v>
      </c>
    </row>
    <row r="113">
      <c r="A113" s="79" t="s">
        <v>96</v>
      </c>
      <c r="B113" s="115" t="s">
        <v>35</v>
      </c>
      <c r="C113" s="80">
        <f>TurkishAirlines!J31/((TurkishAirlines!B38+TurkishAirlines!C38)/2)</f>
        <v>0.03683715213</v>
      </c>
      <c r="D113" s="80">
        <f>TurkishAirlines!K31/((TurkishAirlines!C38+TurkishAirlines!D38)/2)</f>
        <v>0.210338633</v>
      </c>
      <c r="E113" s="80">
        <f>TurkishAirlines!L31/((TurkishAirlines!D38+TurkishAirlines!E38)/2)</f>
        <v>0.09580670493</v>
      </c>
    </row>
    <row r="114">
      <c r="A114" s="5" t="s">
        <v>97</v>
      </c>
      <c r="B114" s="115" t="s">
        <v>35</v>
      </c>
      <c r="C114" s="80">
        <f>TurkishAirlines!J31/((TurkishAirlines!B57+TurkishAirlines!C57)/2)</f>
        <v>0.1569558101</v>
      </c>
      <c r="D114" s="80">
        <f>TurkishAirlines!K31/((TurkishAirlines!C57+TurkishAirlines!D57)/2)</f>
        <v>0.5700960008</v>
      </c>
      <c r="E114" s="80">
        <f>TurkishAirlines!L31/((TurkishAirlines!D57+TurkishAirlines!E57)/2)</f>
        <v>0.2063337705</v>
      </c>
    </row>
  </sheetData>
  <mergeCells count="4">
    <mergeCell ref="A1:E1"/>
    <mergeCell ref="H1:L1"/>
    <mergeCell ref="A2:E2"/>
    <mergeCell ref="H2:L2"/>
  </mergeCells>
  <conditionalFormatting sqref="A6:E92">
    <cfRule type="expression" dxfId="4" priority="1">
      <formula>ISODD(ROW())</formula>
    </cfRule>
  </conditionalFormatting>
  <conditionalFormatting sqref="D5">
    <cfRule type="notContainsBlanks" dxfId="5" priority="2">
      <formula>LEN(TRIM(D5))&gt;0</formula>
    </cfRule>
  </conditionalFormatting>
  <hyperlinks>
    <hyperlink r:id="rId1" ref="H53"/>
    <hyperlink r:id="rId2" ref="H54"/>
    <hyperlink r:id="rId3" ref="H57"/>
  </hyperlinks>
  <drawing r:id="rId4"/>
  <tableParts count="2"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5"/>
    <col customWidth="1" min="9" max="9" width="68.75"/>
  </cols>
  <sheetData>
    <row r="1">
      <c r="A1" s="1" t="s">
        <v>0</v>
      </c>
      <c r="I1" s="1" t="s">
        <v>1</v>
      </c>
    </row>
    <row r="2">
      <c r="A2" s="116" t="s">
        <v>2</v>
      </c>
      <c r="F2" s="7"/>
      <c r="I2" s="2" t="s">
        <v>2</v>
      </c>
    </row>
    <row r="3">
      <c r="A3" s="117"/>
      <c r="B3" s="23" t="s">
        <v>4</v>
      </c>
      <c r="C3" s="23" t="s">
        <v>5</v>
      </c>
      <c r="D3" s="23" t="s">
        <v>6</v>
      </c>
      <c r="E3" s="118" t="s">
        <v>197</v>
      </c>
      <c r="F3" s="7"/>
      <c r="I3" s="3"/>
      <c r="J3" s="4" t="s">
        <v>4</v>
      </c>
      <c r="K3" s="4" t="s">
        <v>5</v>
      </c>
      <c r="L3" s="4" t="s">
        <v>6</v>
      </c>
      <c r="M3" s="4" t="s">
        <v>7</v>
      </c>
    </row>
    <row r="4">
      <c r="A4" s="119" t="s">
        <v>8</v>
      </c>
      <c r="B4" s="120"/>
      <c r="C4" s="121"/>
      <c r="D4" s="121"/>
      <c r="E4" s="122"/>
      <c r="F4" s="7"/>
      <c r="I4" s="9" t="s">
        <v>198</v>
      </c>
      <c r="J4" s="123">
        <v>55199.0</v>
      </c>
      <c r="K4" s="124">
        <v>75544.0</v>
      </c>
      <c r="L4" s="124">
        <v>97671.0</v>
      </c>
      <c r="M4" s="124">
        <v>111449.0</v>
      </c>
    </row>
    <row r="5">
      <c r="A5" s="119" t="s">
        <v>27</v>
      </c>
      <c r="B5" s="121"/>
      <c r="C5" s="121"/>
      <c r="D5" s="121"/>
      <c r="E5" s="122"/>
      <c r="F5" s="7"/>
      <c r="I5" s="13" t="s">
        <v>199</v>
      </c>
      <c r="J5" s="125">
        <v>838.0</v>
      </c>
      <c r="K5" s="126">
        <v>1207.0</v>
      </c>
      <c r="L5" s="126">
        <v>1984.0</v>
      </c>
      <c r="M5" s="126">
        <v>1895.0</v>
      </c>
    </row>
    <row r="6">
      <c r="A6" s="127" t="s">
        <v>31</v>
      </c>
      <c r="B6" s="128">
        <v>26627.0</v>
      </c>
      <c r="C6" s="128">
        <v>30187.0</v>
      </c>
      <c r="D6" s="129">
        <v>58662.0</v>
      </c>
      <c r="E6" s="130">
        <v>62334.0</v>
      </c>
      <c r="F6" s="7"/>
      <c r="I6" s="6" t="s">
        <v>13</v>
      </c>
      <c r="J6" s="131">
        <v>56037.0</v>
      </c>
      <c r="K6" s="132">
        <v>76752.0</v>
      </c>
      <c r="L6" s="124">
        <v>99655.0</v>
      </c>
      <c r="M6" s="124">
        <v>113344.0</v>
      </c>
    </row>
    <row r="7">
      <c r="A7" s="127" t="s">
        <v>29</v>
      </c>
      <c r="B7" s="128">
        <v>33577.0</v>
      </c>
      <c r="C7" s="128">
        <v>36306.0</v>
      </c>
      <c r="D7" s="129">
        <v>24210.0</v>
      </c>
      <c r="E7" s="130">
        <v>25161.0</v>
      </c>
      <c r="F7" s="7"/>
      <c r="I7" s="133" t="s">
        <v>200</v>
      </c>
      <c r="J7" s="125"/>
      <c r="K7" s="126"/>
      <c r="L7" s="134"/>
      <c r="M7" s="134"/>
    </row>
    <row r="8">
      <c r="A8" s="127" t="s">
        <v>40</v>
      </c>
      <c r="B8" s="128">
        <v>56.0</v>
      </c>
      <c r="C8" s="128">
        <v>83.0</v>
      </c>
      <c r="D8" s="129">
        <v>40.0</v>
      </c>
      <c r="E8" s="130">
        <v>35.0</v>
      </c>
      <c r="F8" s="7"/>
      <c r="I8" s="8" t="s">
        <v>201</v>
      </c>
      <c r="J8" s="123">
        <v>-25772.0</v>
      </c>
      <c r="K8" s="124">
        <v>-37717.0</v>
      </c>
      <c r="L8" s="124">
        <v>-52464.0</v>
      </c>
      <c r="M8" s="124">
        <v>-60911.0</v>
      </c>
    </row>
    <row r="9">
      <c r="A9" s="127" t="s">
        <v>202</v>
      </c>
      <c r="B9" s="128">
        <v>1391.0</v>
      </c>
      <c r="C9" s="128">
        <v>1474.0</v>
      </c>
      <c r="D9" s="129">
        <v>2442.0</v>
      </c>
      <c r="E9" s="130">
        <v>1401.0</v>
      </c>
      <c r="F9" s="7"/>
      <c r="I9" s="4" t="s">
        <v>203</v>
      </c>
      <c r="J9" s="125">
        <v>-14920.0</v>
      </c>
      <c r="K9" s="126">
        <v>-16821.0</v>
      </c>
      <c r="L9" s="126">
        <v>-20176.0</v>
      </c>
      <c r="M9" s="126">
        <v>-23060.0</v>
      </c>
    </row>
    <row r="10">
      <c r="A10" s="127" t="s">
        <v>204</v>
      </c>
      <c r="B10" s="128">
        <v>160.0</v>
      </c>
      <c r="C10" s="128">
        <v>2755.0</v>
      </c>
      <c r="D10" s="129">
        <v>8562.0</v>
      </c>
      <c r="E10" s="130">
        <v>9874.0</v>
      </c>
      <c r="F10" s="7"/>
      <c r="I10" s="9" t="s">
        <v>205</v>
      </c>
      <c r="J10" s="123">
        <v>-8384.0</v>
      </c>
      <c r="K10" s="124">
        <v>-7545.0</v>
      </c>
      <c r="L10" s="124">
        <v>-14509.0</v>
      </c>
      <c r="M10" s="124">
        <v>-18201.0</v>
      </c>
    </row>
    <row r="11">
      <c r="A11" s="127" t="s">
        <v>206</v>
      </c>
      <c r="B11" s="128">
        <v>486.0</v>
      </c>
      <c r="C11" s="128">
        <v>404.0</v>
      </c>
      <c r="D11" s="129">
        <v>792.0</v>
      </c>
      <c r="E11" s="130">
        <v>82.0</v>
      </c>
      <c r="F11" s="7"/>
      <c r="I11" s="4" t="s">
        <v>207</v>
      </c>
      <c r="J11" s="125">
        <v>-2954.0</v>
      </c>
      <c r="K11" s="126">
        <v>-4112.0</v>
      </c>
      <c r="L11" s="126">
        <v>-2618.0</v>
      </c>
      <c r="M11" s="126">
        <v>-2654.0</v>
      </c>
    </row>
    <row r="12">
      <c r="A12" s="127" t="s">
        <v>208</v>
      </c>
      <c r="B12" s="128">
        <v>4.0</v>
      </c>
      <c r="C12" s="128" t="s">
        <v>35</v>
      </c>
      <c r="D12" s="128" t="s">
        <v>35</v>
      </c>
      <c r="E12" s="130" t="s">
        <v>35</v>
      </c>
      <c r="F12" s="7"/>
      <c r="I12" s="9" t="s">
        <v>209</v>
      </c>
      <c r="J12" s="123">
        <v>-916.0</v>
      </c>
      <c r="K12" s="124">
        <v>-1118.0</v>
      </c>
      <c r="L12" s="124">
        <v>-936.0</v>
      </c>
      <c r="M12" s="124">
        <v>-867.0</v>
      </c>
    </row>
    <row r="13">
      <c r="A13" s="127" t="s">
        <v>210</v>
      </c>
      <c r="B13" s="128">
        <v>764.0</v>
      </c>
      <c r="C13" s="128">
        <v>69.0</v>
      </c>
      <c r="D13" s="129">
        <v>393.0</v>
      </c>
      <c r="E13" s="130">
        <v>521.0</v>
      </c>
      <c r="F13" s="7"/>
      <c r="I13" s="4" t="s">
        <v>211</v>
      </c>
      <c r="J13" s="125">
        <v>3848.0</v>
      </c>
      <c r="K13" s="126">
        <v>2638.0</v>
      </c>
      <c r="L13" s="126">
        <v>3796.0</v>
      </c>
      <c r="M13" s="126">
        <v>3390.0</v>
      </c>
    </row>
    <row r="14">
      <c r="A14" s="127" t="s">
        <v>212</v>
      </c>
      <c r="B14" s="128">
        <v>280.0</v>
      </c>
      <c r="C14" s="128">
        <v>333.0</v>
      </c>
      <c r="D14" s="128" t="s">
        <v>35</v>
      </c>
      <c r="E14" s="130" t="s">
        <v>35</v>
      </c>
      <c r="F14" s="7"/>
      <c r="I14" s="9" t="s">
        <v>213</v>
      </c>
      <c r="J14" s="123">
        <v>134.0</v>
      </c>
      <c r="K14" s="124">
        <v>129.0</v>
      </c>
      <c r="L14" s="124">
        <v>4.0</v>
      </c>
      <c r="M14" s="124">
        <v>4.0</v>
      </c>
    </row>
    <row r="15">
      <c r="A15" s="127" t="s">
        <v>214</v>
      </c>
      <c r="B15" s="128">
        <v>7.0</v>
      </c>
      <c r="C15" s="128">
        <v>6.0</v>
      </c>
      <c r="D15" s="129">
        <v>53.0</v>
      </c>
      <c r="E15" s="130">
        <v>427.0</v>
      </c>
      <c r="F15" s="7"/>
      <c r="I15" s="4" t="s">
        <v>215</v>
      </c>
      <c r="J15" s="125">
        <v>190.0</v>
      </c>
      <c r="K15" s="125">
        <v>578.0</v>
      </c>
      <c r="L15" s="126">
        <v>229.0</v>
      </c>
      <c r="M15" s="126">
        <v>181.0</v>
      </c>
    </row>
    <row r="16">
      <c r="A16" s="119" t="s">
        <v>48</v>
      </c>
      <c r="B16" s="128">
        <v>63350.0</v>
      </c>
      <c r="C16" s="128">
        <v>71618.0</v>
      </c>
      <c r="D16" s="129">
        <v>95156.0</v>
      </c>
      <c r="E16" s="130">
        <v>99834.0</v>
      </c>
      <c r="F16" s="7"/>
      <c r="I16" s="9" t="s">
        <v>216</v>
      </c>
      <c r="J16" s="123">
        <v>-3018.0</v>
      </c>
      <c r="K16" s="124">
        <v>-3209.0</v>
      </c>
      <c r="L16" s="124">
        <v>-2863.0</v>
      </c>
      <c r="M16" s="124">
        <v>-2879.0</v>
      </c>
    </row>
    <row r="17">
      <c r="A17" s="135"/>
      <c r="B17" s="121"/>
      <c r="C17" s="128"/>
      <c r="D17" s="121"/>
      <c r="E17" s="122"/>
      <c r="F17" s="7"/>
      <c r="J17" s="136">
        <v>-51791.0</v>
      </c>
      <c r="K17" s="137">
        <v>-67177.0</v>
      </c>
      <c r="L17" s="137">
        <v>-89537.0</v>
      </c>
      <c r="M17" s="137">
        <v>-104996.0</v>
      </c>
    </row>
    <row r="18">
      <c r="A18" s="117"/>
      <c r="B18" s="138"/>
      <c r="C18" s="139"/>
      <c r="D18" s="138"/>
      <c r="E18" s="140"/>
      <c r="F18" s="57"/>
      <c r="G18" s="57"/>
      <c r="H18" s="57"/>
      <c r="I18" s="6" t="s">
        <v>217</v>
      </c>
      <c r="J18" s="131">
        <v>4245.0</v>
      </c>
      <c r="K18" s="132">
        <v>9575.0</v>
      </c>
      <c r="L18" s="132">
        <v>10118.0</v>
      </c>
      <c r="M18" s="132">
        <v>8348.0</v>
      </c>
    </row>
    <row r="19">
      <c r="A19" s="141" t="s">
        <v>10</v>
      </c>
      <c r="B19" s="142"/>
      <c r="C19" s="142"/>
      <c r="D19" s="142"/>
      <c r="E19" s="143"/>
      <c r="F19" s="57"/>
      <c r="G19" s="57"/>
      <c r="H19" s="57"/>
      <c r="J19" s="144"/>
      <c r="K19" s="126"/>
      <c r="L19" s="134"/>
      <c r="M19" s="134"/>
    </row>
    <row r="20">
      <c r="A20" s="118" t="s">
        <v>138</v>
      </c>
      <c r="B20" s="139">
        <v>2122.0</v>
      </c>
      <c r="C20" s="139">
        <v>3436.0</v>
      </c>
      <c r="D20" s="145">
        <v>5666.0</v>
      </c>
      <c r="E20" s="146">
        <v>10221.0</v>
      </c>
      <c r="F20" s="147"/>
      <c r="G20" s="57"/>
      <c r="H20" s="57"/>
      <c r="I20" s="9" t="s">
        <v>218</v>
      </c>
      <c r="J20" s="123">
        <v>-2106.0</v>
      </c>
      <c r="K20" s="124">
        <v>-8.0</v>
      </c>
      <c r="L20" s="124">
        <v>-956.0</v>
      </c>
      <c r="M20" s="124">
        <v>-2639.0</v>
      </c>
    </row>
    <row r="21">
      <c r="A21" s="148" t="s">
        <v>210</v>
      </c>
      <c r="B21" s="149">
        <v>3675.0</v>
      </c>
      <c r="C21" s="149">
        <v>5498.0</v>
      </c>
      <c r="D21" s="150">
        <v>6694.0</v>
      </c>
      <c r="E21" s="151">
        <v>6956.0</v>
      </c>
      <c r="F21" s="147"/>
      <c r="G21" s="57"/>
      <c r="H21" s="57"/>
      <c r="I21" s="4" t="s">
        <v>219</v>
      </c>
      <c r="J21" s="125">
        <v>-656.0</v>
      </c>
      <c r="K21" s="126">
        <v>-217.0</v>
      </c>
      <c r="L21" s="126">
        <v>-1234.0</v>
      </c>
      <c r="M21" s="126">
        <v>-486.0</v>
      </c>
    </row>
    <row r="22">
      <c r="A22" s="148" t="s">
        <v>220</v>
      </c>
      <c r="B22" s="149">
        <v>30.0</v>
      </c>
      <c r="C22" s="149">
        <v>92.0</v>
      </c>
      <c r="D22" s="150">
        <v>106.0</v>
      </c>
      <c r="E22" s="151">
        <v>139.0</v>
      </c>
      <c r="F22" s="147"/>
      <c r="G22" s="57"/>
      <c r="H22" s="57"/>
      <c r="I22" s="9" t="s">
        <v>221</v>
      </c>
      <c r="J22" s="123" t="s">
        <v>35</v>
      </c>
      <c r="K22" s="123" t="s">
        <v>35</v>
      </c>
      <c r="L22" s="124">
        <v>-225.0</v>
      </c>
      <c r="M22" s="124">
        <v>-839.0</v>
      </c>
    </row>
    <row r="23">
      <c r="A23" s="148" t="s">
        <v>214</v>
      </c>
      <c r="B23" s="149">
        <v>1058.0</v>
      </c>
      <c r="C23" s="149">
        <v>1761.0</v>
      </c>
      <c r="D23" s="150">
        <v>4892.0</v>
      </c>
      <c r="E23" s="151">
        <v>4376.0</v>
      </c>
      <c r="F23" s="147"/>
      <c r="G23" s="57"/>
      <c r="H23" s="57"/>
      <c r="I23" s="4" t="s">
        <v>222</v>
      </c>
      <c r="J23" s="125">
        <v>-9.0</v>
      </c>
      <c r="K23" s="126">
        <v>231.0</v>
      </c>
      <c r="L23" s="126">
        <v>307.0</v>
      </c>
      <c r="M23" s="126">
        <v>316.0</v>
      </c>
    </row>
    <row r="24">
      <c r="A24" s="148" t="s">
        <v>223</v>
      </c>
      <c r="B24" s="149">
        <v>1865.0</v>
      </c>
      <c r="C24" s="149">
        <v>3585.0</v>
      </c>
      <c r="D24" s="150">
        <v>3643.0</v>
      </c>
      <c r="E24" s="151">
        <v>2970.0</v>
      </c>
      <c r="F24" s="147"/>
      <c r="G24" s="57"/>
      <c r="H24" s="57"/>
      <c r="I24" s="9" t="s">
        <v>224</v>
      </c>
      <c r="J24" s="123">
        <v>-222.0</v>
      </c>
      <c r="K24" s="124">
        <v>1195.0</v>
      </c>
      <c r="L24" s="124">
        <v>314.0</v>
      </c>
      <c r="M24" s="124">
        <v>11.0</v>
      </c>
    </row>
    <row r="25">
      <c r="A25" s="148" t="s">
        <v>225</v>
      </c>
      <c r="B25" s="149">
        <v>82.0</v>
      </c>
      <c r="C25" s="149">
        <v>353.0</v>
      </c>
      <c r="D25" s="150">
        <v>39.0</v>
      </c>
      <c r="E25" s="151">
        <v>23.0</v>
      </c>
      <c r="F25" s="147"/>
      <c r="G25" s="57"/>
      <c r="H25" s="57"/>
      <c r="I25" s="4" t="s">
        <v>226</v>
      </c>
      <c r="J25" s="125">
        <v>-142.0</v>
      </c>
      <c r="K25" s="126">
        <v>158.0</v>
      </c>
      <c r="L25" s="126">
        <v>-210.0</v>
      </c>
      <c r="M25" s="126">
        <v>-277.0</v>
      </c>
    </row>
    <row r="26">
      <c r="A26" s="148" t="s">
        <v>212</v>
      </c>
      <c r="B26" s="149" t="s">
        <v>35</v>
      </c>
      <c r="C26" s="149">
        <v>83.0</v>
      </c>
      <c r="D26" s="150" t="s">
        <v>35</v>
      </c>
      <c r="E26" s="151" t="s">
        <v>35</v>
      </c>
      <c r="F26" s="147"/>
      <c r="G26" s="57"/>
      <c r="H26" s="57"/>
      <c r="I26" s="9" t="s">
        <v>227</v>
      </c>
      <c r="J26" s="123" t="s">
        <v>35</v>
      </c>
      <c r="K26" s="123" t="s">
        <v>35</v>
      </c>
      <c r="L26" s="123" t="s">
        <v>35</v>
      </c>
      <c r="M26" s="124">
        <v>-3171.0</v>
      </c>
    </row>
    <row r="27">
      <c r="A27" s="148" t="s">
        <v>228</v>
      </c>
      <c r="B27" s="149">
        <v>1245.0</v>
      </c>
      <c r="C27" s="149">
        <v>1463.0</v>
      </c>
      <c r="D27" s="150">
        <v>1429.0</v>
      </c>
      <c r="E27" s="151">
        <v>170.0</v>
      </c>
      <c r="F27" s="147"/>
      <c r="G27" s="57"/>
      <c r="H27" s="57"/>
      <c r="I27" s="4" t="s">
        <v>229</v>
      </c>
      <c r="J27" s="125">
        <v>-5902.0</v>
      </c>
      <c r="K27" s="126">
        <v>-10.0</v>
      </c>
      <c r="L27" s="125" t="s">
        <v>35</v>
      </c>
      <c r="M27" s="125" t="s">
        <v>35</v>
      </c>
    </row>
    <row r="28">
      <c r="A28" s="148" t="s">
        <v>12</v>
      </c>
      <c r="B28" s="149">
        <v>12679.0</v>
      </c>
      <c r="C28" s="149">
        <v>7569.0</v>
      </c>
      <c r="D28" s="150">
        <v>5537.0</v>
      </c>
      <c r="E28" s="151">
        <v>5337.0</v>
      </c>
      <c r="F28" s="147"/>
      <c r="G28" s="57"/>
      <c r="H28" s="57"/>
      <c r="I28" s="9" t="s">
        <v>230</v>
      </c>
      <c r="J28" s="123">
        <v>100.0</v>
      </c>
      <c r="K28" s="124">
        <v>-83412.0</v>
      </c>
      <c r="L28" s="124">
        <v>124.0</v>
      </c>
      <c r="M28" s="124">
        <v>-2.0</v>
      </c>
    </row>
    <row r="29">
      <c r="A29" s="152" t="s">
        <v>25</v>
      </c>
      <c r="B29" s="149">
        <v>22756.0</v>
      </c>
      <c r="C29" s="149">
        <v>23840.0</v>
      </c>
      <c r="D29" s="150">
        <v>28007.0</v>
      </c>
      <c r="E29" s="151">
        <v>30191.0</v>
      </c>
      <c r="F29" s="147"/>
      <c r="G29" s="57"/>
      <c r="H29" s="57"/>
      <c r="I29" s="4" t="s">
        <v>231</v>
      </c>
      <c r="J29" s="125">
        <v>14399.0</v>
      </c>
      <c r="K29" s="126">
        <v>28531.0</v>
      </c>
      <c r="L29" s="125" t="s">
        <v>35</v>
      </c>
      <c r="M29" s="125" t="s">
        <v>35</v>
      </c>
    </row>
    <row r="30">
      <c r="A30" s="148" t="s">
        <v>232</v>
      </c>
      <c r="B30" s="149" t="s">
        <v>35</v>
      </c>
      <c r="C30" s="149" t="s">
        <v>35</v>
      </c>
      <c r="D30" s="149" t="s">
        <v>35</v>
      </c>
      <c r="E30" s="151">
        <v>324.0</v>
      </c>
      <c r="F30" s="147"/>
      <c r="G30" s="57"/>
      <c r="H30" s="57"/>
      <c r="I30" s="9" t="s">
        <v>30</v>
      </c>
      <c r="J30" s="123">
        <v>695.0</v>
      </c>
      <c r="K30" s="124">
        <v>442.0</v>
      </c>
      <c r="L30" s="124">
        <v>1294.0</v>
      </c>
      <c r="M30" s="124">
        <v>1231.0</v>
      </c>
    </row>
    <row r="31">
      <c r="A31" s="153"/>
      <c r="B31" s="154"/>
      <c r="C31" s="154"/>
      <c r="D31" s="154"/>
      <c r="E31" s="155"/>
      <c r="F31" s="156"/>
      <c r="G31" s="57"/>
      <c r="H31" s="57"/>
      <c r="I31" s="4" t="s">
        <v>32</v>
      </c>
      <c r="J31" s="125">
        <v>-6673.0</v>
      </c>
      <c r="K31" s="126">
        <v>-5865.0</v>
      </c>
      <c r="L31" s="126">
        <v>-5936.0</v>
      </c>
      <c r="M31" s="126">
        <v>-7553.0</v>
      </c>
    </row>
    <row r="32">
      <c r="A32" s="152" t="s">
        <v>233</v>
      </c>
      <c r="B32" s="149">
        <v>86106.0</v>
      </c>
      <c r="C32" s="149">
        <v>95458.0</v>
      </c>
      <c r="D32" s="150">
        <v>123163.0</v>
      </c>
      <c r="E32" s="151">
        <v>130350.0</v>
      </c>
      <c r="F32" s="147"/>
      <c r="G32" s="57"/>
      <c r="H32" s="57"/>
      <c r="I32" s="6" t="s">
        <v>234</v>
      </c>
      <c r="J32" s="131">
        <v>3671.0</v>
      </c>
      <c r="K32" s="132">
        <v>33950.0</v>
      </c>
      <c r="L32" s="132">
        <v>3596.0</v>
      </c>
      <c r="M32" s="132">
        <v>-5062.0</v>
      </c>
    </row>
    <row r="33">
      <c r="A33" s="157" t="s">
        <v>235</v>
      </c>
      <c r="B33" s="154"/>
      <c r="C33" s="154"/>
      <c r="D33" s="154"/>
      <c r="E33" s="155"/>
      <c r="F33" s="156"/>
      <c r="G33" s="57"/>
      <c r="H33" s="57"/>
      <c r="I33" s="4" t="s">
        <v>236</v>
      </c>
      <c r="J33" s="125">
        <v>-542.0</v>
      </c>
      <c r="K33" s="126">
        <v>-7125.0</v>
      </c>
      <c r="L33" s="126">
        <v>-809.0</v>
      </c>
      <c r="M33" s="126">
        <v>-1954.0</v>
      </c>
    </row>
    <row r="34">
      <c r="A34" s="158" t="s">
        <v>237</v>
      </c>
      <c r="B34" s="149">
        <v>3702.0</v>
      </c>
      <c r="C34" s="149">
        <v>7896.0</v>
      </c>
      <c r="D34" s="149">
        <v>7896.0</v>
      </c>
      <c r="E34" s="151">
        <v>7896.0</v>
      </c>
      <c r="F34" s="147"/>
      <c r="G34" s="57"/>
      <c r="H34" s="57"/>
      <c r="I34" s="6" t="s">
        <v>238</v>
      </c>
      <c r="J34" s="131">
        <v>3130.0</v>
      </c>
      <c r="K34" s="132">
        <v>26825.0</v>
      </c>
      <c r="L34" s="132">
        <v>2786.0</v>
      </c>
      <c r="M34" s="132">
        <v>-7015.0</v>
      </c>
    </row>
    <row r="35">
      <c r="A35" s="158" t="s">
        <v>239</v>
      </c>
      <c r="B35" s="149">
        <v>21875.0</v>
      </c>
      <c r="C35" s="149">
        <v>31311.0</v>
      </c>
      <c r="D35" s="149">
        <v>31311.0</v>
      </c>
      <c r="E35" s="151">
        <v>31311.0</v>
      </c>
      <c r="F35" s="147"/>
      <c r="G35" s="57"/>
      <c r="H35" s="57"/>
    </row>
    <row r="36">
      <c r="A36" s="158" t="s">
        <v>240</v>
      </c>
      <c r="B36" s="149">
        <v>-1352.0</v>
      </c>
      <c r="C36" s="149">
        <v>-7402.0</v>
      </c>
      <c r="D36" s="149">
        <v>-7402.0</v>
      </c>
      <c r="E36" s="151">
        <v>-7402.0</v>
      </c>
      <c r="F36" s="147"/>
      <c r="G36" s="57"/>
      <c r="H36" s="57"/>
    </row>
    <row r="37">
      <c r="A37" s="158" t="s">
        <v>241</v>
      </c>
      <c r="B37" s="149">
        <v>334.0</v>
      </c>
      <c r="C37" s="149">
        <v>417.0</v>
      </c>
      <c r="D37" s="149">
        <v>-825.0</v>
      </c>
      <c r="E37" s="151">
        <v>-1431.0</v>
      </c>
      <c r="F37" s="147"/>
      <c r="G37" s="57"/>
      <c r="H37" s="57"/>
      <c r="I37" s="159" t="s">
        <v>52</v>
      </c>
    </row>
    <row r="38">
      <c r="A38" s="158" t="s">
        <v>242</v>
      </c>
      <c r="B38" s="149">
        <v>17849.0</v>
      </c>
      <c r="C38" s="149">
        <v>17912.0</v>
      </c>
      <c r="D38" s="149">
        <v>21779.0</v>
      </c>
      <c r="E38" s="151">
        <v>20492.0</v>
      </c>
      <c r="F38" s="147"/>
      <c r="G38" s="57"/>
      <c r="H38" s="57"/>
      <c r="I38" s="81" t="s">
        <v>243</v>
      </c>
      <c r="J38" s="160" t="s">
        <v>244</v>
      </c>
    </row>
    <row r="39">
      <c r="A39" s="158" t="s">
        <v>245</v>
      </c>
      <c r="B39" s="149">
        <v>-31.0</v>
      </c>
      <c r="C39" s="149">
        <v>-63.0</v>
      </c>
      <c r="D39" s="149">
        <v>91.0</v>
      </c>
      <c r="E39" s="151">
        <v>121.0</v>
      </c>
      <c r="F39" s="147"/>
      <c r="G39" s="57"/>
      <c r="H39" s="57"/>
      <c r="I39" s="81" t="s">
        <v>246</v>
      </c>
      <c r="J39" s="160" t="s">
        <v>244</v>
      </c>
    </row>
    <row r="40">
      <c r="A40" s="158" t="s">
        <v>247</v>
      </c>
      <c r="B40" s="149">
        <v>-67980.0</v>
      </c>
      <c r="C40" s="149">
        <v>-39918.0</v>
      </c>
      <c r="D40" s="149">
        <v>-30499.0</v>
      </c>
      <c r="E40" s="151">
        <v>-37135.0</v>
      </c>
      <c r="F40" s="147"/>
      <c r="G40" s="57"/>
      <c r="H40" s="57"/>
    </row>
    <row r="41">
      <c r="A41" s="157" t="s">
        <v>248</v>
      </c>
      <c r="B41" s="149">
        <v>-25602.0</v>
      </c>
      <c r="C41" s="149">
        <v>10154.0</v>
      </c>
      <c r="D41" s="149">
        <v>22353.0</v>
      </c>
      <c r="E41" s="151">
        <v>13851.0</v>
      </c>
      <c r="F41" s="147"/>
      <c r="G41" s="57"/>
      <c r="H41" s="57"/>
    </row>
    <row r="42">
      <c r="A42" s="161"/>
      <c r="B42" s="154"/>
      <c r="C42" s="154"/>
      <c r="D42" s="154"/>
      <c r="E42" s="155"/>
      <c r="F42" s="156"/>
      <c r="G42" s="57"/>
      <c r="H42" s="57"/>
    </row>
    <row r="43">
      <c r="A43" s="158" t="s">
        <v>249</v>
      </c>
      <c r="B43" s="149">
        <v>676.0</v>
      </c>
      <c r="C43" s="149">
        <v>647.0</v>
      </c>
      <c r="D43" s="149">
        <v>714.0</v>
      </c>
      <c r="E43" s="151">
        <v>593.0</v>
      </c>
      <c r="F43" s="147"/>
      <c r="G43" s="57"/>
      <c r="H43" s="57"/>
    </row>
    <row r="44">
      <c r="A44" s="157" t="s">
        <v>250</v>
      </c>
      <c r="B44" s="149">
        <v>-4925.0</v>
      </c>
      <c r="C44" s="149">
        <v>10801.0</v>
      </c>
      <c r="D44" s="149">
        <v>23067.0</v>
      </c>
      <c r="E44" s="151">
        <v>14445.0</v>
      </c>
      <c r="F44" s="147"/>
      <c r="G44" s="57"/>
      <c r="H44" s="57"/>
    </row>
    <row r="45">
      <c r="A45" s="161"/>
      <c r="B45" s="154"/>
      <c r="C45" s="154"/>
      <c r="D45" s="154"/>
      <c r="E45" s="155"/>
      <c r="F45" s="156"/>
      <c r="G45" s="57"/>
      <c r="H45" s="57"/>
    </row>
    <row r="46">
      <c r="A46" s="157" t="s">
        <v>65</v>
      </c>
      <c r="B46" s="154"/>
      <c r="C46" s="154"/>
      <c r="D46" s="154"/>
      <c r="E46" s="155"/>
      <c r="F46" s="156"/>
      <c r="G46" s="57"/>
      <c r="H46" s="57"/>
    </row>
    <row r="47">
      <c r="A47" s="158" t="s">
        <v>251</v>
      </c>
      <c r="B47" s="149">
        <v>12714.0</v>
      </c>
      <c r="C47" s="149">
        <v>19563.0</v>
      </c>
      <c r="D47" s="149">
        <v>27881.0</v>
      </c>
      <c r="E47" s="151">
        <v>26716.0</v>
      </c>
      <c r="F47" s="147"/>
      <c r="G47" s="57"/>
      <c r="H47" s="57"/>
    </row>
    <row r="48">
      <c r="A48" s="158" t="s">
        <v>61</v>
      </c>
      <c r="B48" s="149">
        <v>17130.0</v>
      </c>
      <c r="C48" s="149">
        <v>24306.0</v>
      </c>
      <c r="D48" s="149">
        <v>21000.0</v>
      </c>
      <c r="E48" s="151">
        <v>23954.0</v>
      </c>
      <c r="F48" s="147"/>
      <c r="G48" s="57"/>
      <c r="H48" s="57"/>
    </row>
    <row r="49">
      <c r="A49" s="158" t="s">
        <v>252</v>
      </c>
      <c r="B49" s="149">
        <v>11.0</v>
      </c>
      <c r="C49" s="149" t="s">
        <v>35</v>
      </c>
      <c r="D49" s="149" t="s">
        <v>35</v>
      </c>
      <c r="E49" s="130" t="s">
        <v>35</v>
      </c>
      <c r="F49" s="147"/>
      <c r="G49" s="57"/>
      <c r="H49" s="57"/>
    </row>
    <row r="50">
      <c r="A50" s="158" t="s">
        <v>253</v>
      </c>
      <c r="B50" s="149">
        <v>490.0</v>
      </c>
      <c r="C50" s="149">
        <v>362.0</v>
      </c>
      <c r="D50" s="149">
        <v>22942.0</v>
      </c>
      <c r="E50" s="151">
        <v>19.0</v>
      </c>
      <c r="F50" s="147"/>
      <c r="G50" s="57"/>
      <c r="H50" s="57"/>
    </row>
    <row r="51">
      <c r="A51" s="158" t="s">
        <v>254</v>
      </c>
      <c r="B51" s="149">
        <v>863.0</v>
      </c>
      <c r="C51" s="149">
        <v>649.0</v>
      </c>
      <c r="D51" s="149">
        <v>395706.0</v>
      </c>
      <c r="E51" s="151" t="s">
        <v>35</v>
      </c>
      <c r="F51" s="147"/>
      <c r="G51" s="57"/>
      <c r="H51" s="57"/>
    </row>
    <row r="52">
      <c r="A52" s="158" t="s">
        <v>255</v>
      </c>
      <c r="B52" s="149">
        <v>19.0</v>
      </c>
      <c r="C52" s="149" t="s">
        <v>35</v>
      </c>
      <c r="D52" s="149">
        <v>511015.0</v>
      </c>
      <c r="E52" s="151" t="s">
        <v>35</v>
      </c>
      <c r="F52" s="147"/>
      <c r="G52" s="57"/>
      <c r="H52" s="57"/>
    </row>
    <row r="53">
      <c r="A53" s="158" t="s">
        <v>256</v>
      </c>
      <c r="B53" s="149">
        <v>287.0</v>
      </c>
      <c r="C53" s="149">
        <v>249.0</v>
      </c>
      <c r="D53" s="149">
        <v>12113.0</v>
      </c>
      <c r="E53" s="151" t="s">
        <v>35</v>
      </c>
      <c r="F53" s="147"/>
      <c r="G53" s="57"/>
      <c r="H53" s="57"/>
    </row>
    <row r="54">
      <c r="A54" s="158" t="s">
        <v>257</v>
      </c>
      <c r="B54" s="149">
        <v>290.0</v>
      </c>
      <c r="C54" s="149">
        <v>347.0</v>
      </c>
      <c r="D54" s="149">
        <v>247123.0</v>
      </c>
      <c r="E54" s="151">
        <v>256.0</v>
      </c>
      <c r="F54" s="147"/>
      <c r="G54" s="57"/>
      <c r="H54" s="57"/>
    </row>
    <row r="55">
      <c r="A55" s="158" t="s">
        <v>67</v>
      </c>
      <c r="B55" s="149">
        <v>4936.0</v>
      </c>
      <c r="C55" s="149">
        <v>12055.0</v>
      </c>
      <c r="D55" s="149">
        <v>13793.0</v>
      </c>
      <c r="E55" s="151">
        <v>16737.0</v>
      </c>
      <c r="F55" s="147"/>
      <c r="G55" s="57"/>
      <c r="H55" s="57"/>
    </row>
    <row r="56">
      <c r="A56" s="157" t="s">
        <v>69</v>
      </c>
      <c r="B56" s="149">
        <v>36742.0</v>
      </c>
      <c r="C56" s="149">
        <v>57531.0</v>
      </c>
      <c r="D56" s="149">
        <v>63353.0</v>
      </c>
      <c r="E56" s="151">
        <v>67681.0</v>
      </c>
      <c r="F56" s="147"/>
      <c r="G56" s="57"/>
      <c r="H56" s="57"/>
    </row>
    <row r="57">
      <c r="A57" s="153"/>
      <c r="B57" s="154"/>
      <c r="C57" s="154"/>
      <c r="D57" s="154"/>
      <c r="E57" s="155"/>
      <c r="F57" s="156"/>
      <c r="G57" s="57"/>
      <c r="H57" s="57"/>
    </row>
    <row r="58">
      <c r="A58" s="157" t="s">
        <v>56</v>
      </c>
      <c r="B58" s="154"/>
      <c r="C58" s="154"/>
      <c r="D58" s="154"/>
      <c r="E58" s="155"/>
      <c r="F58" s="156"/>
      <c r="G58" s="57"/>
      <c r="H58" s="57"/>
    </row>
    <row r="59">
      <c r="A59" s="158" t="s">
        <v>251</v>
      </c>
      <c r="B59" s="149">
        <v>48782.0</v>
      </c>
      <c r="C59" s="149">
        <v>5589.0</v>
      </c>
      <c r="D59" s="149">
        <v>2863.0</v>
      </c>
      <c r="E59" s="151">
        <v>4393.0</v>
      </c>
      <c r="F59" s="147"/>
      <c r="G59" s="57"/>
      <c r="H59" s="57"/>
    </row>
    <row r="60">
      <c r="A60" s="158" t="s">
        <v>61</v>
      </c>
      <c r="B60" s="149">
        <v>10470.0</v>
      </c>
      <c r="C60" s="149">
        <v>7358.0</v>
      </c>
      <c r="D60" s="149">
        <v>16290.0</v>
      </c>
      <c r="E60" s="151">
        <v>22542.0</v>
      </c>
      <c r="F60" s="147"/>
      <c r="G60" s="57"/>
      <c r="H60" s="57"/>
    </row>
    <row r="61">
      <c r="A61" s="158" t="s">
        <v>136</v>
      </c>
      <c r="B61" s="149">
        <v>96.0</v>
      </c>
      <c r="C61" s="149">
        <v>102.0</v>
      </c>
      <c r="D61" s="149" t="s">
        <v>35</v>
      </c>
      <c r="E61" s="130" t="s">
        <v>35</v>
      </c>
      <c r="F61" s="147"/>
      <c r="G61" s="57"/>
      <c r="H61" s="57"/>
    </row>
    <row r="62">
      <c r="A62" s="158" t="s">
        <v>252</v>
      </c>
      <c r="B62" s="149">
        <v>9044.0</v>
      </c>
      <c r="C62" s="149">
        <v>9356.0</v>
      </c>
      <c r="D62" s="149">
        <v>11551.0</v>
      </c>
      <c r="E62" s="162">
        <v>14359.0</v>
      </c>
      <c r="F62" s="163"/>
      <c r="G62" s="57"/>
      <c r="H62" s="57"/>
    </row>
    <row r="63">
      <c r="A63" s="158" t="s">
        <v>258</v>
      </c>
      <c r="B63" s="149">
        <v>130.0</v>
      </c>
      <c r="C63" s="149">
        <v>130.0</v>
      </c>
      <c r="D63" s="149">
        <v>4.0</v>
      </c>
      <c r="E63" s="162">
        <v>4.0</v>
      </c>
      <c r="F63" s="163"/>
      <c r="G63" s="57"/>
      <c r="H63" s="57"/>
    </row>
    <row r="64">
      <c r="A64" s="158" t="s">
        <v>259</v>
      </c>
      <c r="B64" s="149">
        <v>2636.0</v>
      </c>
      <c r="C64" s="149">
        <v>2789.0</v>
      </c>
      <c r="D64" s="149">
        <v>3425.0</v>
      </c>
      <c r="E64" s="162">
        <v>4113.0</v>
      </c>
      <c r="F64" s="163"/>
      <c r="G64" s="57"/>
      <c r="H64" s="57"/>
    </row>
    <row r="65">
      <c r="A65" s="158" t="s">
        <v>255</v>
      </c>
      <c r="B65" s="149">
        <v>372.0</v>
      </c>
      <c r="C65" s="149">
        <v>308.0</v>
      </c>
      <c r="D65" s="149">
        <v>511.0</v>
      </c>
      <c r="E65" s="162">
        <v>722.0</v>
      </c>
      <c r="F65" s="163"/>
      <c r="G65" s="57"/>
      <c r="H65" s="57"/>
    </row>
    <row r="66">
      <c r="A66" s="158" t="s">
        <v>254</v>
      </c>
      <c r="B66" s="149">
        <v>313.0</v>
      </c>
      <c r="C66" s="149">
        <v>224.0</v>
      </c>
      <c r="D66" s="149">
        <v>158.0</v>
      </c>
      <c r="E66" s="162">
        <v>493.0</v>
      </c>
      <c r="F66" s="163"/>
      <c r="G66" s="57"/>
      <c r="H66" s="57"/>
    </row>
    <row r="67">
      <c r="A67" s="158" t="s">
        <v>260</v>
      </c>
      <c r="B67" s="149">
        <v>63.0</v>
      </c>
      <c r="C67" s="149">
        <v>5298.0</v>
      </c>
      <c r="D67" s="149">
        <v>111.0</v>
      </c>
      <c r="E67" s="162">
        <v>18.0</v>
      </c>
      <c r="F67" s="163"/>
      <c r="G67" s="57"/>
      <c r="H67" s="57"/>
    </row>
    <row r="68">
      <c r="A68" s="158" t="s">
        <v>256</v>
      </c>
      <c r="B68" s="149">
        <v>2310.0</v>
      </c>
      <c r="C68" s="149">
        <v>1183.0</v>
      </c>
      <c r="D68" s="149">
        <v>1735.0</v>
      </c>
      <c r="E68" s="162">
        <v>1445.0</v>
      </c>
      <c r="F68" s="163"/>
      <c r="G68" s="57"/>
      <c r="H68" s="57"/>
    </row>
    <row r="69">
      <c r="A69" s="158" t="s">
        <v>261</v>
      </c>
      <c r="B69" s="149">
        <v>74.0</v>
      </c>
      <c r="C69" s="149">
        <v>82773.0</v>
      </c>
      <c r="D69" s="149">
        <v>90.0</v>
      </c>
      <c r="E69" s="162">
        <v>130.0</v>
      </c>
      <c r="F69" s="163"/>
      <c r="G69" s="57"/>
      <c r="H69" s="57"/>
    </row>
    <row r="70">
      <c r="A70" s="158" t="s">
        <v>257</v>
      </c>
      <c r="B70" s="149">
        <v>1.0</v>
      </c>
      <c r="C70" s="149">
        <v>1.0</v>
      </c>
      <c r="D70" s="149">
        <v>4.0</v>
      </c>
      <c r="E70" s="162">
        <v>4.0</v>
      </c>
      <c r="F70" s="163"/>
      <c r="G70" s="57"/>
      <c r="H70" s="57"/>
    </row>
    <row r="71">
      <c r="A71" s="164"/>
      <c r="B71" s="154"/>
      <c r="C71" s="154"/>
      <c r="D71" s="154"/>
      <c r="E71" s="130"/>
      <c r="F71" s="147"/>
      <c r="G71" s="57"/>
      <c r="H71" s="57"/>
    </row>
    <row r="72">
      <c r="A72" s="157" t="s">
        <v>64</v>
      </c>
      <c r="B72" s="149">
        <v>74290.0</v>
      </c>
      <c r="C72" s="149">
        <v>27125.0</v>
      </c>
      <c r="D72" s="149">
        <v>36743.0</v>
      </c>
      <c r="E72" s="31">
        <v>48223.0</v>
      </c>
      <c r="F72" s="65"/>
      <c r="G72" s="57"/>
      <c r="H72" s="57"/>
    </row>
    <row r="73">
      <c r="A73" s="157" t="s">
        <v>262</v>
      </c>
      <c r="B73" s="149">
        <v>111032.0</v>
      </c>
      <c r="C73" s="149">
        <v>84657.0</v>
      </c>
      <c r="D73" s="149">
        <v>100096.0</v>
      </c>
      <c r="E73" s="165">
        <v>115904.0</v>
      </c>
      <c r="F73" s="166"/>
      <c r="G73" s="166"/>
      <c r="H73" s="166"/>
    </row>
    <row r="74">
      <c r="A74" s="157" t="s">
        <v>263</v>
      </c>
      <c r="B74" s="149">
        <v>86106.0</v>
      </c>
      <c r="C74" s="149">
        <v>95458.0</v>
      </c>
      <c r="D74" s="149">
        <v>123163.0</v>
      </c>
      <c r="E74" s="31">
        <v>130350.0</v>
      </c>
      <c r="F74" s="65"/>
      <c r="G74" s="57"/>
      <c r="H74" s="57"/>
    </row>
    <row r="75">
      <c r="A75" s="135"/>
      <c r="E75" s="135"/>
      <c r="F75" s="57"/>
      <c r="G75" s="57"/>
      <c r="H75" s="57"/>
    </row>
    <row r="76">
      <c r="A76" s="135"/>
      <c r="E76" s="135"/>
      <c r="F76" s="57"/>
      <c r="G76" s="57"/>
      <c r="H76" s="57"/>
    </row>
    <row r="77">
      <c r="A77" s="135"/>
      <c r="E77" s="135"/>
      <c r="F77" s="57"/>
      <c r="G77" s="57"/>
      <c r="H77" s="57"/>
    </row>
    <row r="78">
      <c r="A78" s="135"/>
      <c r="E78" s="135"/>
      <c r="F78" s="57"/>
      <c r="G78" s="57"/>
      <c r="H78" s="57"/>
    </row>
    <row r="79">
      <c r="A79" s="135"/>
      <c r="E79" s="135"/>
    </row>
    <row r="80">
      <c r="A80" s="135"/>
      <c r="E80" s="135"/>
    </row>
    <row r="81">
      <c r="A81" s="71" t="s">
        <v>82</v>
      </c>
      <c r="B81" s="72"/>
      <c r="C81" s="72"/>
      <c r="D81" s="72"/>
      <c r="E81" s="72"/>
    </row>
    <row r="82">
      <c r="A82" s="44"/>
      <c r="B82" s="44"/>
      <c r="C82" s="44"/>
      <c r="D82" s="44"/>
      <c r="E82" s="44"/>
    </row>
    <row r="83">
      <c r="A83" s="73" t="s">
        <v>83</v>
      </c>
      <c r="B83" s="44"/>
      <c r="C83" s="44"/>
      <c r="D83" s="44"/>
      <c r="E83" s="44"/>
    </row>
    <row r="84">
      <c r="A84" s="5" t="s">
        <v>84</v>
      </c>
      <c r="B84" s="74">
        <f>'Ютэер'!B29/'Ютэер'!B72</f>
        <v>0.3063130973</v>
      </c>
      <c r="C84" s="80">
        <f>'Ютэер'!C29/'Ютэер'!C72</f>
        <v>0.8788940092</v>
      </c>
      <c r="D84" s="74">
        <f>'Ютэер'!D29/'Ютэер'!D72</f>
        <v>0.7622404267</v>
      </c>
      <c r="E84" s="74">
        <f>'Ютэер'!E29/'Ютэер'!E72</f>
        <v>0.6260705472</v>
      </c>
    </row>
    <row r="85">
      <c r="A85" s="5" t="s">
        <v>85</v>
      </c>
      <c r="B85" s="75">
        <f>('Ютэер'!B28+'Ютэер'!B62+'Ютэер'!B27)/'Ютэер'!B73</f>
        <v>0.2068592838</v>
      </c>
      <c r="C85" s="75">
        <f>('Ютэер'!C28+'Ютэер'!C62+'Ютэер'!C27)/'Ютэер'!C73</f>
        <v>0.2172059015</v>
      </c>
      <c r="D85" s="75">
        <f>('Ютэер'!D28+'Ютэер'!D62+'Ютэер'!D27)/'Ютэер'!D73</f>
        <v>0.1849924073</v>
      </c>
      <c r="E85" s="75">
        <f>('Ютэер'!E28+'Ютэер'!E62+'Ютэер'!E27)/'Ютэер'!E73</f>
        <v>0.1714004694</v>
      </c>
    </row>
    <row r="86">
      <c r="A86" s="5" t="s">
        <v>86</v>
      </c>
      <c r="B86" s="74">
        <f>'Ютэер'!B28/'Ютэер'!B72</f>
        <v>0.1706689999</v>
      </c>
      <c r="C86" s="74">
        <f>'Ютэер'!C28/'Ютэер'!C72</f>
        <v>0.2790414747</v>
      </c>
      <c r="D86" s="74">
        <f>'Ютэер'!D28/'Ютэер'!D72</f>
        <v>0.1506953705</v>
      </c>
      <c r="E86" s="74">
        <f>'Ютэер'!E28/'Ютэер'!E72</f>
        <v>0.1106733302</v>
      </c>
    </row>
    <row r="87">
      <c r="A87" s="44"/>
      <c r="B87" s="76"/>
      <c r="C87" s="76"/>
      <c r="D87" s="76"/>
      <c r="E87" s="76"/>
    </row>
    <row r="88">
      <c r="A88" s="73" t="s">
        <v>87</v>
      </c>
      <c r="B88" s="74"/>
      <c r="C88" s="74"/>
      <c r="D88" s="74"/>
      <c r="E88" s="74"/>
    </row>
    <row r="89">
      <c r="A89" s="77" t="s">
        <v>88</v>
      </c>
      <c r="B89" s="74">
        <f>abs('Ютэер'!B44)/(abs('Ютэер'!B44)+'Ютэер'!B73)</f>
        <v>0.04247264072</v>
      </c>
      <c r="C89" s="74">
        <f>abs('Ютэер'!C44)/(abs('Ютэер'!C44)+'Ютэер'!C73)</f>
        <v>0.1131492384</v>
      </c>
      <c r="D89" s="74">
        <f>abs('Ютэер'!D44)/(abs('Ютэер'!D44)+'Ютэер'!D73)</f>
        <v>0.1872883902</v>
      </c>
      <c r="E89" s="74">
        <f>abs('Ютэер'!E44)/(abs('Ютэер'!E44)+'Ютэер'!E73)</f>
        <v>0.1108178812</v>
      </c>
    </row>
    <row r="90">
      <c r="A90" s="77" t="s">
        <v>89</v>
      </c>
      <c r="B90" s="74">
        <f>'Ютэер'!B73/'Ютэер'!B44</f>
        <v>-22.54456853</v>
      </c>
      <c r="C90" s="74">
        <f>'Ютэер'!C73/'Ютэер'!C44</f>
        <v>7.837885381</v>
      </c>
      <c r="D90" s="74">
        <f>'Ютэер'!D73/'Ютэер'!D44</f>
        <v>4.339359258</v>
      </c>
      <c r="E90" s="74">
        <f>'Ютэер'!E73/'Ютэер'!E44</f>
        <v>8.023814469</v>
      </c>
    </row>
    <row r="91">
      <c r="A91" s="77" t="s">
        <v>90</v>
      </c>
      <c r="B91" s="74">
        <f>'Ютэер'!B32/'Ютэер'!B44</f>
        <v>-17.48345178</v>
      </c>
      <c r="C91" s="80">
        <f>'Ютэер'!C32/'Ютэер'!C44</f>
        <v>8.837885381</v>
      </c>
      <c r="D91" s="74">
        <f>'Ютэер'!D32/'Ютэер'!D44</f>
        <v>5.339359258</v>
      </c>
      <c r="E91" s="167">
        <f>'Ютэер'!E32/'Ютэер'!E44</f>
        <v>9.023883697</v>
      </c>
    </row>
    <row r="92">
      <c r="A92" s="44"/>
      <c r="B92" s="76"/>
      <c r="C92" s="76"/>
      <c r="D92" s="76"/>
      <c r="E92" s="76"/>
    </row>
    <row r="93">
      <c r="A93" s="78" t="s">
        <v>91</v>
      </c>
      <c r="B93" s="76"/>
      <c r="C93" s="76"/>
      <c r="D93" s="76"/>
      <c r="E93" s="76"/>
    </row>
    <row r="94">
      <c r="A94" s="77" t="s">
        <v>92</v>
      </c>
      <c r="B94" s="74">
        <f>('Ютэер'!J6)/(('Ютэер'!B108+'Ютэер'!B32)/2)</f>
        <v>1.085304798</v>
      </c>
      <c r="C94" s="74">
        <f>('Ютэер'!K6)/(('Ютэер'!B32+'Ютэер'!C32)/2)</f>
        <v>0.8454539446</v>
      </c>
      <c r="D94" s="74">
        <f>('Ютэер'!L6)/(('Ютэер'!C32+'Ютэер'!D32)/2)</f>
        <v>0.9116690528</v>
      </c>
      <c r="E94" s="74">
        <f>('Ютэер'!M6)/(('Ютэер'!D32+'Ютэер'!E32)/2)</f>
        <v>0.8941868859</v>
      </c>
    </row>
    <row r="95">
      <c r="A95" s="77" t="s">
        <v>93</v>
      </c>
      <c r="B95" s="74">
        <f>(((('Ютэер'!B109+'Ютэер'!B110)+('Ютэер'!B21+'Ютэер'!B25))/2)*365)/'Ютэер'!J6</f>
        <v>37.87305709</v>
      </c>
      <c r="C95" s="74">
        <f>(((('Ютэер'!B21+'Ютэер'!B25)+('Ютэер'!C21+'Ютэер'!C25))/2)*365)/'Ютэер'!K6</f>
        <v>22.84578903</v>
      </c>
      <c r="D95" s="74">
        <f>(((('Ютэер'!C21+'Ютэер'!C25)+('Ютэер'!D21+'Ютэер'!D25))/2)*365)/'Ютэер'!L6</f>
        <v>23.04530631</v>
      </c>
      <c r="E95" s="74">
        <f>(((('Ютэер'!D21+'Ютэер'!D25)+('Ютэер'!E21+'Ютэер'!E25))/2)*365)/'Ютэер'!M6</f>
        <v>22.07827499</v>
      </c>
    </row>
    <row r="96">
      <c r="A96" s="44"/>
      <c r="B96" s="74"/>
      <c r="C96" s="74"/>
      <c r="D96" s="74"/>
      <c r="E96" s="74"/>
    </row>
    <row r="97">
      <c r="A97" s="78" t="s">
        <v>94</v>
      </c>
      <c r="B97" s="74"/>
      <c r="C97" s="74"/>
      <c r="D97" s="74"/>
      <c r="E97" s="74"/>
    </row>
    <row r="98">
      <c r="A98" s="77" t="s">
        <v>95</v>
      </c>
      <c r="B98" s="74">
        <f>(('Ютэер'!J34)*100/'Ютэер'!J6)</f>
        <v>5.585595232</v>
      </c>
      <c r="C98" s="74">
        <f>(('Ютэер'!K34)*100/'Ютэер'!K6)</f>
        <v>34.95022931</v>
      </c>
      <c r="D98" s="74">
        <f>(('Ютэер'!L34)*100/'Ютэер'!L6)</f>
        <v>2.795644975</v>
      </c>
      <c r="E98" s="74">
        <f>(('Ютэер'!M34)*100/'Ютэер'!M6)</f>
        <v>-6.189123377</v>
      </c>
    </row>
    <row r="99">
      <c r="A99" s="79" t="s">
        <v>96</v>
      </c>
      <c r="B99" s="74">
        <f>('Ютэер'!J34)*100/(('Ютэер'!B108+'Ютэер'!B32)/2)</f>
        <v>6.062073307</v>
      </c>
      <c r="C99" s="74">
        <f>('Ютэер'!K34)*100/(('Ютэер'!B32+'Ютэер'!C32)/2)</f>
        <v>29.54880924</v>
      </c>
      <c r="D99" s="74">
        <f>('Ютэер'!L34)*100/(('Ютэер'!C32+'Ютэер'!D32)/2)</f>
        <v>2.548703007</v>
      </c>
      <c r="E99" s="74">
        <f>('Ютэер'!M34)*100/(('Ютэер'!D32+'Ютэер'!E32)/2)</f>
        <v>-5.534232958</v>
      </c>
    </row>
    <row r="100">
      <c r="A100" s="5" t="s">
        <v>97</v>
      </c>
      <c r="B100" s="74">
        <f>('Ютэер'!J34)*100/(('Ютэер'!B44+'Ютэер'!B113)/2)</f>
        <v>19.93059314</v>
      </c>
      <c r="C100" s="74">
        <f>('Ютэер'!K34)*100/(('Ютэер'!B44+'Ютэер'!C44)/2)</f>
        <v>913.036079</v>
      </c>
      <c r="D100" s="74">
        <f>('Ютэер'!L34)*100/(('Ютэер'!C44+'Ютэер'!D44)/2)</f>
        <v>16.45210818</v>
      </c>
      <c r="E100" s="74">
        <f>('Ютэер'!M34)*100/(('Ютэер'!D44+'Ютэер'!E44)/2)</f>
        <v>-37.4013649</v>
      </c>
    </row>
    <row r="101">
      <c r="A101" s="135"/>
      <c r="E101" s="135"/>
    </row>
    <row r="102">
      <c r="A102" s="135"/>
      <c r="E102" s="135"/>
    </row>
    <row r="103">
      <c r="A103" s="135"/>
      <c r="E103" s="135"/>
    </row>
    <row r="104">
      <c r="A104" s="135"/>
      <c r="E104" s="135"/>
    </row>
    <row r="105">
      <c r="A105" s="135"/>
      <c r="E105" s="135"/>
    </row>
    <row r="106">
      <c r="A106" s="135"/>
      <c r="E106" s="135"/>
    </row>
    <row r="107">
      <c r="A107" s="19" t="s">
        <v>98</v>
      </c>
      <c r="E107" s="135"/>
    </row>
    <row r="108">
      <c r="A108" s="81" t="s">
        <v>99</v>
      </c>
      <c r="B108" s="81">
        <v>17159.0</v>
      </c>
      <c r="E108" s="135"/>
    </row>
    <row r="109">
      <c r="A109" s="83" t="s">
        <v>210</v>
      </c>
      <c r="B109" s="81">
        <v>7709.0</v>
      </c>
      <c r="E109" s="135"/>
    </row>
    <row r="110">
      <c r="A110" s="83" t="s">
        <v>225</v>
      </c>
      <c r="B110" s="81">
        <v>163.0</v>
      </c>
      <c r="E110" s="135"/>
    </row>
    <row r="111">
      <c r="E111" s="135"/>
    </row>
    <row r="112">
      <c r="E112" s="135"/>
    </row>
    <row r="113">
      <c r="A113" s="81" t="s">
        <v>101</v>
      </c>
      <c r="B113" s="81">
        <v>36334.0</v>
      </c>
    </row>
    <row r="114">
      <c r="A114" s="135"/>
      <c r="E114" s="135"/>
    </row>
    <row r="115">
      <c r="A115" s="135"/>
      <c r="E115" s="135"/>
    </row>
    <row r="116">
      <c r="A116" s="135"/>
      <c r="E116" s="135"/>
    </row>
    <row r="117">
      <c r="A117" s="135"/>
      <c r="E117" s="135"/>
    </row>
    <row r="118">
      <c r="A118" s="135"/>
      <c r="E118" s="135"/>
    </row>
    <row r="119">
      <c r="A119" s="135"/>
      <c r="E119" s="135"/>
    </row>
    <row r="120">
      <c r="A120" s="135"/>
      <c r="E120" s="135"/>
    </row>
    <row r="121">
      <c r="A121" s="135"/>
      <c r="E121" s="135"/>
    </row>
    <row r="122">
      <c r="A122" s="135"/>
      <c r="E122" s="135"/>
    </row>
    <row r="123">
      <c r="A123" s="135"/>
      <c r="E123" s="135"/>
    </row>
    <row r="124">
      <c r="A124" s="135"/>
      <c r="E124" s="135"/>
    </row>
    <row r="125">
      <c r="A125" s="135"/>
      <c r="E125" s="135"/>
    </row>
    <row r="126">
      <c r="A126" s="135"/>
      <c r="E126" s="135"/>
    </row>
    <row r="127">
      <c r="A127" s="135"/>
      <c r="E127" s="135"/>
    </row>
    <row r="128">
      <c r="A128" s="135"/>
      <c r="E128" s="135"/>
    </row>
    <row r="129">
      <c r="A129" s="135"/>
      <c r="E129" s="135"/>
    </row>
    <row r="130">
      <c r="A130" s="135"/>
      <c r="E130" s="135"/>
    </row>
    <row r="131">
      <c r="A131" s="135"/>
      <c r="E131" s="135"/>
    </row>
    <row r="132">
      <c r="A132" s="135"/>
      <c r="E132" s="135"/>
    </row>
    <row r="133">
      <c r="A133" s="135"/>
      <c r="E133" s="135"/>
    </row>
    <row r="134">
      <c r="A134" s="135"/>
      <c r="E134" s="135"/>
    </row>
    <row r="135">
      <c r="A135" s="135"/>
      <c r="E135" s="135"/>
    </row>
    <row r="136">
      <c r="A136" s="135"/>
      <c r="E136" s="135"/>
    </row>
    <row r="137">
      <c r="A137" s="135"/>
      <c r="E137" s="135"/>
    </row>
    <row r="138">
      <c r="A138" s="135"/>
      <c r="E138" s="135"/>
    </row>
    <row r="139">
      <c r="A139" s="135"/>
      <c r="E139" s="135"/>
    </row>
    <row r="140">
      <c r="A140" s="135"/>
      <c r="E140" s="135"/>
    </row>
    <row r="141">
      <c r="A141" s="135"/>
      <c r="E141" s="135"/>
    </row>
    <row r="142">
      <c r="A142" s="135"/>
      <c r="E142" s="135"/>
    </row>
    <row r="143">
      <c r="A143" s="135"/>
      <c r="E143" s="135"/>
    </row>
    <row r="144">
      <c r="A144" s="135"/>
      <c r="E144" s="135"/>
    </row>
    <row r="145">
      <c r="A145" s="135"/>
      <c r="E145" s="135"/>
    </row>
    <row r="146">
      <c r="A146" s="135"/>
      <c r="E146" s="135"/>
    </row>
    <row r="147">
      <c r="A147" s="135"/>
      <c r="E147" s="135"/>
    </row>
    <row r="148">
      <c r="A148" s="135"/>
      <c r="E148" s="135"/>
    </row>
    <row r="149">
      <c r="A149" s="135"/>
      <c r="E149" s="135"/>
    </row>
    <row r="150">
      <c r="A150" s="135"/>
      <c r="E150" s="135"/>
    </row>
    <row r="151">
      <c r="A151" s="135"/>
      <c r="E151" s="135"/>
    </row>
    <row r="152">
      <c r="A152" s="135"/>
      <c r="E152" s="135"/>
    </row>
    <row r="153">
      <c r="A153" s="135"/>
      <c r="E153" s="135"/>
    </row>
    <row r="154">
      <c r="A154" s="135"/>
      <c r="E154" s="135"/>
    </row>
    <row r="155">
      <c r="A155" s="135"/>
      <c r="E155" s="135"/>
    </row>
    <row r="156">
      <c r="A156" s="135"/>
      <c r="E156" s="135"/>
    </row>
    <row r="157">
      <c r="A157" s="135"/>
      <c r="E157" s="135"/>
    </row>
    <row r="158">
      <c r="A158" s="135"/>
      <c r="E158" s="135"/>
    </row>
    <row r="159">
      <c r="A159" s="135"/>
      <c r="E159" s="135"/>
    </row>
    <row r="160">
      <c r="A160" s="135"/>
      <c r="E160" s="135"/>
    </row>
    <row r="161">
      <c r="A161" s="135"/>
      <c r="E161" s="135"/>
    </row>
    <row r="162">
      <c r="A162" s="135"/>
      <c r="E162" s="135"/>
    </row>
    <row r="163">
      <c r="A163" s="135"/>
      <c r="E163" s="135"/>
    </row>
    <row r="164">
      <c r="A164" s="135"/>
      <c r="E164" s="135"/>
    </row>
    <row r="165">
      <c r="A165" s="135"/>
      <c r="E165" s="135"/>
    </row>
    <row r="166">
      <c r="A166" s="135"/>
      <c r="E166" s="135"/>
    </row>
    <row r="167">
      <c r="A167" s="135"/>
      <c r="E167" s="135"/>
    </row>
    <row r="168">
      <c r="A168" s="135"/>
      <c r="E168" s="135"/>
    </row>
    <row r="169">
      <c r="A169" s="135"/>
      <c r="E169" s="135"/>
    </row>
    <row r="170">
      <c r="A170" s="135"/>
      <c r="E170" s="135"/>
    </row>
    <row r="171">
      <c r="A171" s="135"/>
      <c r="E171" s="135"/>
    </row>
    <row r="172">
      <c r="A172" s="135"/>
      <c r="E172" s="135"/>
    </row>
    <row r="173">
      <c r="A173" s="135"/>
      <c r="E173" s="135"/>
    </row>
    <row r="174">
      <c r="A174" s="135"/>
      <c r="E174" s="135"/>
    </row>
    <row r="175">
      <c r="A175" s="135"/>
      <c r="E175" s="135"/>
    </row>
    <row r="176">
      <c r="A176" s="135"/>
      <c r="E176" s="135"/>
    </row>
    <row r="177">
      <c r="A177" s="135"/>
      <c r="E177" s="135"/>
    </row>
    <row r="178">
      <c r="A178" s="135"/>
      <c r="E178" s="135"/>
    </row>
    <row r="179">
      <c r="A179" s="135"/>
      <c r="E179" s="135"/>
    </row>
    <row r="180">
      <c r="A180" s="135"/>
      <c r="E180" s="135"/>
    </row>
    <row r="181">
      <c r="A181" s="135"/>
      <c r="E181" s="135"/>
    </row>
    <row r="182">
      <c r="A182" s="135"/>
      <c r="E182" s="135"/>
    </row>
    <row r="183">
      <c r="A183" s="135"/>
      <c r="E183" s="135"/>
    </row>
    <row r="184">
      <c r="A184" s="135"/>
      <c r="E184" s="135"/>
    </row>
    <row r="185">
      <c r="A185" s="135"/>
      <c r="E185" s="135"/>
    </row>
    <row r="186">
      <c r="A186" s="135"/>
      <c r="E186" s="135"/>
    </row>
    <row r="187">
      <c r="A187" s="135"/>
      <c r="E187" s="135"/>
    </row>
    <row r="188">
      <c r="A188" s="135"/>
      <c r="E188" s="135"/>
    </row>
    <row r="189">
      <c r="A189" s="135"/>
      <c r="E189" s="135"/>
    </row>
    <row r="190">
      <c r="A190" s="135"/>
      <c r="E190" s="135"/>
    </row>
    <row r="191">
      <c r="A191" s="135"/>
      <c r="E191" s="135"/>
    </row>
    <row r="192">
      <c r="A192" s="135"/>
      <c r="E192" s="135"/>
    </row>
    <row r="193">
      <c r="A193" s="135"/>
      <c r="E193" s="135"/>
    </row>
    <row r="194">
      <c r="A194" s="135"/>
      <c r="E194" s="135"/>
    </row>
    <row r="195">
      <c r="A195" s="135"/>
      <c r="E195" s="135"/>
    </row>
    <row r="196">
      <c r="A196" s="135"/>
      <c r="E196" s="135"/>
    </row>
    <row r="197">
      <c r="A197" s="135"/>
      <c r="E197" s="135"/>
    </row>
    <row r="198">
      <c r="A198" s="135"/>
      <c r="E198" s="135"/>
    </row>
    <row r="199">
      <c r="A199" s="135"/>
      <c r="E199" s="135"/>
    </row>
    <row r="200">
      <c r="A200" s="135"/>
      <c r="E200" s="135"/>
    </row>
    <row r="201">
      <c r="A201" s="135"/>
      <c r="E201" s="135"/>
    </row>
    <row r="202">
      <c r="A202" s="135"/>
      <c r="E202" s="135"/>
    </row>
    <row r="203">
      <c r="A203" s="135"/>
      <c r="E203" s="135"/>
    </row>
    <row r="204">
      <c r="A204" s="135"/>
      <c r="E204" s="135"/>
    </row>
    <row r="205">
      <c r="A205" s="135"/>
      <c r="E205" s="135"/>
    </row>
    <row r="206">
      <c r="A206" s="135"/>
      <c r="E206" s="135"/>
    </row>
    <row r="207">
      <c r="A207" s="135"/>
      <c r="E207" s="135"/>
    </row>
    <row r="208">
      <c r="A208" s="135"/>
      <c r="E208" s="135"/>
    </row>
    <row r="209">
      <c r="A209" s="135"/>
      <c r="E209" s="135"/>
    </row>
    <row r="210">
      <c r="A210" s="135"/>
      <c r="E210" s="135"/>
    </row>
    <row r="211">
      <c r="A211" s="135"/>
      <c r="E211" s="135"/>
    </row>
    <row r="212">
      <c r="A212" s="135"/>
      <c r="E212" s="135"/>
    </row>
    <row r="213">
      <c r="A213" s="135"/>
      <c r="E213" s="135"/>
    </row>
    <row r="214">
      <c r="A214" s="135"/>
      <c r="E214" s="135"/>
    </row>
    <row r="215">
      <c r="A215" s="135"/>
      <c r="E215" s="135"/>
    </row>
    <row r="216">
      <c r="A216" s="135"/>
      <c r="E216" s="135"/>
    </row>
    <row r="217">
      <c r="A217" s="135"/>
      <c r="E217" s="135"/>
    </row>
    <row r="218">
      <c r="A218" s="135"/>
      <c r="E218" s="135"/>
    </row>
    <row r="219">
      <c r="A219" s="135"/>
      <c r="E219" s="135"/>
    </row>
    <row r="220">
      <c r="A220" s="135"/>
      <c r="E220" s="135"/>
    </row>
    <row r="221">
      <c r="A221" s="135"/>
      <c r="E221" s="135"/>
    </row>
    <row r="222">
      <c r="A222" s="135"/>
      <c r="E222" s="135"/>
    </row>
    <row r="223">
      <c r="A223" s="135"/>
      <c r="E223" s="135"/>
    </row>
    <row r="224">
      <c r="A224" s="135"/>
      <c r="E224" s="135"/>
    </row>
    <row r="225">
      <c r="A225" s="135"/>
      <c r="E225" s="135"/>
    </row>
    <row r="226">
      <c r="A226" s="135"/>
      <c r="E226" s="135"/>
    </row>
    <row r="227">
      <c r="A227" s="135"/>
      <c r="E227" s="135"/>
    </row>
    <row r="228">
      <c r="A228" s="135"/>
      <c r="E228" s="135"/>
    </row>
    <row r="229">
      <c r="A229" s="135"/>
      <c r="E229" s="135"/>
    </row>
    <row r="230">
      <c r="A230" s="135"/>
      <c r="E230" s="135"/>
    </row>
    <row r="231">
      <c r="A231" s="135"/>
      <c r="E231" s="135"/>
    </row>
    <row r="232">
      <c r="A232" s="135"/>
      <c r="E232" s="135"/>
    </row>
    <row r="233">
      <c r="A233" s="135"/>
      <c r="E233" s="135"/>
    </row>
    <row r="234">
      <c r="A234" s="135"/>
      <c r="E234" s="135"/>
    </row>
    <row r="235">
      <c r="A235" s="135"/>
      <c r="E235" s="135"/>
    </row>
    <row r="236">
      <c r="A236" s="135"/>
      <c r="E236" s="135"/>
    </row>
    <row r="237">
      <c r="A237" s="135"/>
      <c r="E237" s="135"/>
    </row>
    <row r="238">
      <c r="A238" s="135"/>
      <c r="E238" s="135"/>
    </row>
    <row r="239">
      <c r="A239" s="135"/>
      <c r="E239" s="135"/>
    </row>
    <row r="240">
      <c r="A240" s="135"/>
      <c r="E240" s="135"/>
    </row>
    <row r="241">
      <c r="A241" s="135"/>
      <c r="E241" s="135"/>
    </row>
    <row r="242">
      <c r="A242" s="135"/>
      <c r="E242" s="135"/>
    </row>
    <row r="243">
      <c r="A243" s="135"/>
      <c r="E243" s="135"/>
    </row>
    <row r="244">
      <c r="A244" s="135"/>
      <c r="E244" s="135"/>
    </row>
    <row r="245">
      <c r="A245" s="135"/>
      <c r="E245" s="135"/>
    </row>
    <row r="246">
      <c r="A246" s="135"/>
      <c r="E246" s="135"/>
    </row>
    <row r="247">
      <c r="A247" s="135"/>
      <c r="E247" s="135"/>
    </row>
    <row r="248">
      <c r="A248" s="135"/>
      <c r="E248" s="135"/>
    </row>
    <row r="249">
      <c r="A249" s="135"/>
      <c r="E249" s="135"/>
    </row>
    <row r="250">
      <c r="A250" s="135"/>
      <c r="E250" s="135"/>
    </row>
    <row r="251">
      <c r="A251" s="135"/>
      <c r="E251" s="135"/>
    </row>
    <row r="252">
      <c r="A252" s="135"/>
      <c r="E252" s="135"/>
    </row>
    <row r="253">
      <c r="A253" s="135"/>
      <c r="E253" s="135"/>
    </row>
    <row r="254">
      <c r="A254" s="135"/>
      <c r="E254" s="135"/>
    </row>
    <row r="255">
      <c r="A255" s="135"/>
      <c r="E255" s="135"/>
    </row>
    <row r="256">
      <c r="A256" s="135"/>
      <c r="E256" s="135"/>
    </row>
    <row r="257">
      <c r="A257" s="135"/>
      <c r="E257" s="135"/>
    </row>
    <row r="258">
      <c r="A258" s="135"/>
      <c r="E258" s="135"/>
    </row>
    <row r="259">
      <c r="A259" s="135"/>
      <c r="E259" s="135"/>
    </row>
    <row r="260">
      <c r="A260" s="135"/>
      <c r="E260" s="135"/>
    </row>
    <row r="261">
      <c r="A261" s="135"/>
      <c r="E261" s="135"/>
    </row>
    <row r="262">
      <c r="A262" s="135"/>
      <c r="E262" s="135"/>
    </row>
    <row r="263">
      <c r="A263" s="135"/>
      <c r="E263" s="135"/>
    </row>
    <row r="264">
      <c r="A264" s="135"/>
      <c r="E264" s="135"/>
    </row>
    <row r="265">
      <c r="A265" s="135"/>
      <c r="E265" s="135"/>
    </row>
    <row r="266">
      <c r="A266" s="135"/>
      <c r="E266" s="135"/>
    </row>
    <row r="267">
      <c r="A267" s="135"/>
      <c r="E267" s="135"/>
    </row>
    <row r="268">
      <c r="A268" s="135"/>
      <c r="E268" s="135"/>
    </row>
    <row r="269">
      <c r="A269" s="135"/>
      <c r="E269" s="135"/>
    </row>
    <row r="270">
      <c r="A270" s="135"/>
      <c r="E270" s="135"/>
    </row>
    <row r="271">
      <c r="A271" s="135"/>
      <c r="E271" s="135"/>
    </row>
    <row r="272">
      <c r="A272" s="135"/>
      <c r="E272" s="135"/>
    </row>
    <row r="273">
      <c r="A273" s="135"/>
      <c r="E273" s="135"/>
    </row>
    <row r="274">
      <c r="A274" s="135"/>
      <c r="E274" s="135"/>
    </row>
    <row r="275">
      <c r="A275" s="135"/>
      <c r="E275" s="135"/>
    </row>
    <row r="276">
      <c r="A276" s="135"/>
      <c r="E276" s="135"/>
    </row>
    <row r="277">
      <c r="A277" s="135"/>
      <c r="E277" s="135"/>
    </row>
    <row r="278">
      <c r="A278" s="135"/>
      <c r="E278" s="135"/>
    </row>
    <row r="279">
      <c r="A279" s="135"/>
      <c r="E279" s="135"/>
    </row>
    <row r="280">
      <c r="A280" s="135"/>
      <c r="E280" s="135"/>
    </row>
    <row r="281">
      <c r="A281" s="135"/>
      <c r="E281" s="135"/>
    </row>
    <row r="282">
      <c r="A282" s="135"/>
      <c r="E282" s="135"/>
    </row>
    <row r="283">
      <c r="A283" s="135"/>
      <c r="E283" s="135"/>
    </row>
    <row r="284">
      <c r="A284" s="135"/>
      <c r="E284" s="135"/>
    </row>
    <row r="285">
      <c r="A285" s="135"/>
      <c r="E285" s="135"/>
    </row>
    <row r="286">
      <c r="A286" s="135"/>
      <c r="E286" s="135"/>
    </row>
    <row r="287">
      <c r="A287" s="135"/>
      <c r="E287" s="135"/>
    </row>
    <row r="288">
      <c r="A288" s="135"/>
      <c r="E288" s="135"/>
    </row>
    <row r="289">
      <c r="A289" s="135"/>
      <c r="E289" s="135"/>
    </row>
    <row r="290">
      <c r="A290" s="135"/>
      <c r="E290" s="135"/>
    </row>
    <row r="291">
      <c r="A291" s="135"/>
      <c r="E291" s="135"/>
    </row>
    <row r="292">
      <c r="A292" s="135"/>
      <c r="E292" s="135"/>
    </row>
    <row r="293">
      <c r="A293" s="135"/>
      <c r="E293" s="135"/>
    </row>
    <row r="294">
      <c r="A294" s="135"/>
      <c r="E294" s="135"/>
    </row>
    <row r="295">
      <c r="A295" s="135"/>
      <c r="E295" s="135"/>
    </row>
    <row r="296">
      <c r="A296" s="135"/>
      <c r="E296" s="135"/>
    </row>
    <row r="297">
      <c r="A297" s="135"/>
      <c r="E297" s="135"/>
    </row>
    <row r="298">
      <c r="A298" s="135"/>
      <c r="E298" s="135"/>
    </row>
    <row r="299">
      <c r="A299" s="135"/>
      <c r="E299" s="135"/>
    </row>
    <row r="300">
      <c r="A300" s="135"/>
      <c r="E300" s="135"/>
    </row>
    <row r="301">
      <c r="A301" s="135"/>
      <c r="E301" s="135"/>
    </row>
    <row r="302">
      <c r="A302" s="135"/>
      <c r="E302" s="135"/>
    </row>
    <row r="303">
      <c r="A303" s="135"/>
      <c r="E303" s="135"/>
    </row>
    <row r="304">
      <c r="A304" s="135"/>
      <c r="E304" s="135"/>
    </row>
    <row r="305">
      <c r="A305" s="135"/>
      <c r="E305" s="135"/>
    </row>
    <row r="306">
      <c r="A306" s="135"/>
      <c r="E306" s="135"/>
    </row>
    <row r="307">
      <c r="A307" s="135"/>
      <c r="E307" s="135"/>
    </row>
    <row r="308">
      <c r="A308" s="135"/>
      <c r="E308" s="135"/>
    </row>
    <row r="309">
      <c r="A309" s="135"/>
      <c r="E309" s="135"/>
    </row>
    <row r="310">
      <c r="A310" s="135"/>
      <c r="E310" s="135"/>
    </row>
    <row r="311">
      <c r="A311" s="135"/>
      <c r="E311" s="135"/>
    </row>
    <row r="312">
      <c r="A312" s="135"/>
      <c r="E312" s="135"/>
    </row>
    <row r="313">
      <c r="A313" s="135"/>
      <c r="E313" s="135"/>
    </row>
    <row r="314">
      <c r="A314" s="135"/>
      <c r="E314" s="135"/>
    </row>
    <row r="315">
      <c r="A315" s="135"/>
      <c r="E315" s="135"/>
    </row>
    <row r="316">
      <c r="A316" s="135"/>
      <c r="E316" s="135"/>
    </row>
    <row r="317">
      <c r="A317" s="135"/>
      <c r="E317" s="135"/>
    </row>
    <row r="318">
      <c r="A318" s="135"/>
      <c r="E318" s="135"/>
    </row>
    <row r="319">
      <c r="A319" s="135"/>
      <c r="E319" s="135"/>
    </row>
    <row r="320">
      <c r="A320" s="135"/>
      <c r="E320" s="135"/>
    </row>
    <row r="321">
      <c r="A321" s="135"/>
      <c r="E321" s="135"/>
    </row>
    <row r="322">
      <c r="A322" s="135"/>
      <c r="E322" s="135"/>
    </row>
    <row r="323">
      <c r="A323" s="135"/>
      <c r="E323" s="135"/>
    </row>
    <row r="324">
      <c r="A324" s="135"/>
      <c r="E324" s="135"/>
    </row>
    <row r="325">
      <c r="A325" s="135"/>
      <c r="E325" s="135"/>
    </row>
    <row r="326">
      <c r="A326" s="135"/>
      <c r="E326" s="135"/>
    </row>
    <row r="327">
      <c r="A327" s="135"/>
      <c r="E327" s="135"/>
    </row>
    <row r="328">
      <c r="A328" s="135"/>
      <c r="E328" s="135"/>
    </row>
    <row r="329">
      <c r="A329" s="135"/>
      <c r="E329" s="135"/>
    </row>
    <row r="330">
      <c r="A330" s="135"/>
      <c r="E330" s="135"/>
    </row>
    <row r="331">
      <c r="A331" s="135"/>
      <c r="E331" s="135"/>
    </row>
    <row r="332">
      <c r="A332" s="135"/>
      <c r="E332" s="135"/>
    </row>
    <row r="333">
      <c r="A333" s="135"/>
      <c r="E333" s="135"/>
    </row>
    <row r="334">
      <c r="A334" s="135"/>
      <c r="E334" s="135"/>
    </row>
    <row r="335">
      <c r="A335" s="135"/>
      <c r="E335" s="135"/>
    </row>
    <row r="336">
      <c r="A336" s="135"/>
      <c r="E336" s="135"/>
    </row>
    <row r="337">
      <c r="A337" s="135"/>
      <c r="E337" s="135"/>
    </row>
    <row r="338">
      <c r="A338" s="135"/>
      <c r="E338" s="135"/>
    </row>
    <row r="339">
      <c r="A339" s="135"/>
      <c r="E339" s="135"/>
    </row>
    <row r="340">
      <c r="A340" s="135"/>
      <c r="E340" s="135"/>
    </row>
    <row r="341">
      <c r="A341" s="135"/>
      <c r="E341" s="135"/>
    </row>
    <row r="342">
      <c r="A342" s="135"/>
      <c r="E342" s="135"/>
    </row>
    <row r="343">
      <c r="A343" s="135"/>
      <c r="E343" s="135"/>
    </row>
    <row r="344">
      <c r="A344" s="135"/>
      <c r="E344" s="135"/>
    </row>
    <row r="345">
      <c r="A345" s="135"/>
      <c r="E345" s="135"/>
    </row>
    <row r="346">
      <c r="A346" s="135"/>
      <c r="E346" s="135"/>
    </row>
    <row r="347">
      <c r="A347" s="135"/>
      <c r="E347" s="135"/>
    </row>
    <row r="348">
      <c r="A348" s="135"/>
      <c r="E348" s="135"/>
    </row>
    <row r="349">
      <c r="A349" s="135"/>
      <c r="E349" s="135"/>
    </row>
    <row r="350">
      <c r="A350" s="135"/>
      <c r="E350" s="135"/>
    </row>
    <row r="351">
      <c r="A351" s="135"/>
      <c r="E351" s="135"/>
    </row>
    <row r="352">
      <c r="A352" s="135"/>
      <c r="E352" s="135"/>
    </row>
    <row r="353">
      <c r="A353" s="135"/>
      <c r="E353" s="135"/>
    </row>
    <row r="354">
      <c r="A354" s="135"/>
      <c r="E354" s="135"/>
    </row>
    <row r="355">
      <c r="A355" s="135"/>
      <c r="E355" s="135"/>
    </row>
    <row r="356">
      <c r="A356" s="135"/>
      <c r="E356" s="135"/>
    </row>
    <row r="357">
      <c r="A357" s="135"/>
      <c r="E357" s="135"/>
    </row>
    <row r="358">
      <c r="A358" s="135"/>
      <c r="E358" s="135"/>
    </row>
    <row r="359">
      <c r="A359" s="135"/>
      <c r="E359" s="135"/>
    </row>
    <row r="360">
      <c r="A360" s="135"/>
      <c r="E360" s="135"/>
    </row>
    <row r="361">
      <c r="A361" s="135"/>
      <c r="E361" s="135"/>
    </row>
    <row r="362">
      <c r="A362" s="135"/>
      <c r="E362" s="135"/>
    </row>
    <row r="363">
      <c r="A363" s="135"/>
      <c r="E363" s="135"/>
    </row>
    <row r="364">
      <c r="A364" s="135"/>
      <c r="E364" s="135"/>
    </row>
    <row r="365">
      <c r="A365" s="135"/>
      <c r="E365" s="135"/>
    </row>
    <row r="366">
      <c r="A366" s="135"/>
      <c r="E366" s="135"/>
    </row>
    <row r="367">
      <c r="A367" s="135"/>
      <c r="E367" s="135"/>
    </row>
    <row r="368">
      <c r="A368" s="135"/>
      <c r="E368" s="135"/>
    </row>
    <row r="369">
      <c r="A369" s="135"/>
      <c r="E369" s="135"/>
    </row>
    <row r="370">
      <c r="A370" s="135"/>
      <c r="E370" s="135"/>
    </row>
    <row r="371">
      <c r="A371" s="135"/>
      <c r="E371" s="135"/>
    </row>
    <row r="372">
      <c r="A372" s="135"/>
      <c r="E372" s="135"/>
    </row>
    <row r="373">
      <c r="A373" s="135"/>
      <c r="E373" s="135"/>
    </row>
    <row r="374">
      <c r="A374" s="135"/>
      <c r="E374" s="135"/>
    </row>
    <row r="375">
      <c r="A375" s="135"/>
      <c r="E375" s="135"/>
    </row>
    <row r="376">
      <c r="A376" s="135"/>
      <c r="E376" s="135"/>
    </row>
    <row r="377">
      <c r="A377" s="135"/>
      <c r="E377" s="135"/>
    </row>
    <row r="378">
      <c r="A378" s="135"/>
      <c r="E378" s="135"/>
    </row>
    <row r="379">
      <c r="A379" s="135"/>
      <c r="E379" s="135"/>
    </row>
    <row r="380">
      <c r="A380" s="135"/>
      <c r="E380" s="135"/>
    </row>
    <row r="381">
      <c r="A381" s="135"/>
      <c r="E381" s="135"/>
    </row>
    <row r="382">
      <c r="A382" s="135"/>
      <c r="E382" s="135"/>
    </row>
    <row r="383">
      <c r="A383" s="135"/>
      <c r="E383" s="135"/>
    </row>
    <row r="384">
      <c r="A384" s="135"/>
      <c r="E384" s="135"/>
    </row>
    <row r="385">
      <c r="A385" s="135"/>
      <c r="E385" s="135"/>
    </row>
    <row r="386">
      <c r="A386" s="135"/>
      <c r="E386" s="135"/>
    </row>
    <row r="387">
      <c r="A387" s="135"/>
      <c r="E387" s="135"/>
    </row>
    <row r="388">
      <c r="A388" s="135"/>
      <c r="E388" s="135"/>
    </row>
    <row r="389">
      <c r="A389" s="135"/>
      <c r="E389" s="135"/>
    </row>
    <row r="390">
      <c r="A390" s="135"/>
      <c r="E390" s="135"/>
    </row>
    <row r="391">
      <c r="A391" s="135"/>
      <c r="E391" s="135"/>
    </row>
    <row r="392">
      <c r="A392" s="135"/>
      <c r="E392" s="135"/>
    </row>
    <row r="393">
      <c r="A393" s="135"/>
      <c r="E393" s="135"/>
    </row>
    <row r="394">
      <c r="A394" s="135"/>
      <c r="E394" s="135"/>
    </row>
    <row r="395">
      <c r="A395" s="135"/>
      <c r="E395" s="135"/>
    </row>
    <row r="396">
      <c r="A396" s="135"/>
      <c r="E396" s="135"/>
    </row>
    <row r="397">
      <c r="A397" s="135"/>
      <c r="E397" s="135"/>
    </row>
    <row r="398">
      <c r="A398" s="135"/>
      <c r="E398" s="135"/>
    </row>
    <row r="399">
      <c r="A399" s="135"/>
      <c r="E399" s="135"/>
    </row>
    <row r="400">
      <c r="A400" s="135"/>
      <c r="E400" s="135"/>
    </row>
    <row r="401">
      <c r="A401" s="135"/>
      <c r="E401" s="135"/>
    </row>
    <row r="402">
      <c r="A402" s="135"/>
      <c r="E402" s="135"/>
    </row>
    <row r="403">
      <c r="A403" s="135"/>
      <c r="E403" s="135"/>
    </row>
    <row r="404">
      <c r="A404" s="135"/>
      <c r="E404" s="135"/>
    </row>
    <row r="405">
      <c r="A405" s="135"/>
      <c r="E405" s="135"/>
    </row>
    <row r="406">
      <c r="A406" s="135"/>
      <c r="E406" s="135"/>
    </row>
    <row r="407">
      <c r="A407" s="135"/>
      <c r="E407" s="135"/>
    </row>
    <row r="408">
      <c r="A408" s="135"/>
      <c r="E408" s="135"/>
    </row>
    <row r="409">
      <c r="A409" s="135"/>
      <c r="E409" s="135"/>
    </row>
    <row r="410">
      <c r="A410" s="135"/>
      <c r="E410" s="135"/>
    </row>
    <row r="411">
      <c r="A411" s="135"/>
      <c r="E411" s="135"/>
    </row>
    <row r="412">
      <c r="A412" s="135"/>
      <c r="E412" s="135"/>
    </row>
    <row r="413">
      <c r="A413" s="135"/>
      <c r="E413" s="135"/>
    </row>
    <row r="414">
      <c r="A414" s="135"/>
      <c r="E414" s="135"/>
    </row>
    <row r="415">
      <c r="A415" s="135"/>
      <c r="E415" s="135"/>
    </row>
    <row r="416">
      <c r="A416" s="135"/>
      <c r="E416" s="135"/>
    </row>
    <row r="417">
      <c r="A417" s="135"/>
      <c r="E417" s="135"/>
    </row>
    <row r="418">
      <c r="A418" s="135"/>
      <c r="E418" s="135"/>
    </row>
    <row r="419">
      <c r="A419" s="135"/>
      <c r="E419" s="135"/>
    </row>
    <row r="420">
      <c r="A420" s="135"/>
      <c r="E420" s="135"/>
    </row>
    <row r="421">
      <c r="A421" s="135"/>
      <c r="E421" s="135"/>
    </row>
    <row r="422">
      <c r="A422" s="135"/>
      <c r="E422" s="135"/>
    </row>
    <row r="423">
      <c r="A423" s="135"/>
      <c r="E423" s="135"/>
    </row>
    <row r="424">
      <c r="A424" s="135"/>
      <c r="E424" s="135"/>
    </row>
    <row r="425">
      <c r="A425" s="135"/>
      <c r="E425" s="135"/>
    </row>
    <row r="426">
      <c r="A426" s="135"/>
      <c r="E426" s="135"/>
    </row>
    <row r="427">
      <c r="A427" s="135"/>
      <c r="E427" s="135"/>
    </row>
    <row r="428">
      <c r="A428" s="135"/>
      <c r="E428" s="135"/>
    </row>
    <row r="429">
      <c r="A429" s="135"/>
      <c r="E429" s="135"/>
    </row>
    <row r="430">
      <c r="A430" s="135"/>
      <c r="E430" s="135"/>
    </row>
    <row r="431">
      <c r="A431" s="135"/>
      <c r="E431" s="135"/>
    </row>
    <row r="432">
      <c r="A432" s="135"/>
      <c r="E432" s="135"/>
    </row>
    <row r="433">
      <c r="A433" s="135"/>
      <c r="E433" s="135"/>
    </row>
    <row r="434">
      <c r="A434" s="135"/>
      <c r="E434" s="135"/>
    </row>
    <row r="435">
      <c r="A435" s="135"/>
      <c r="E435" s="135"/>
    </row>
    <row r="436">
      <c r="A436" s="135"/>
      <c r="E436" s="135"/>
    </row>
    <row r="437">
      <c r="A437" s="135"/>
      <c r="E437" s="135"/>
    </row>
    <row r="438">
      <c r="A438" s="135"/>
      <c r="E438" s="135"/>
    </row>
    <row r="439">
      <c r="A439" s="135"/>
      <c r="E439" s="135"/>
    </row>
    <row r="440">
      <c r="A440" s="135"/>
      <c r="E440" s="135"/>
    </row>
    <row r="441">
      <c r="A441" s="135"/>
      <c r="E441" s="135"/>
    </row>
    <row r="442">
      <c r="A442" s="135"/>
      <c r="E442" s="135"/>
    </row>
    <row r="443">
      <c r="A443" s="135"/>
      <c r="E443" s="135"/>
    </row>
    <row r="444">
      <c r="A444" s="135"/>
      <c r="E444" s="135"/>
    </row>
    <row r="445">
      <c r="A445" s="135"/>
      <c r="E445" s="135"/>
    </row>
    <row r="446">
      <c r="A446" s="135"/>
      <c r="E446" s="135"/>
    </row>
    <row r="447">
      <c r="A447" s="135"/>
      <c r="E447" s="135"/>
    </row>
    <row r="448">
      <c r="A448" s="135"/>
      <c r="E448" s="135"/>
    </row>
    <row r="449">
      <c r="A449" s="135"/>
      <c r="E449" s="135"/>
    </row>
    <row r="450">
      <c r="A450" s="135"/>
      <c r="E450" s="135"/>
    </row>
    <row r="451">
      <c r="A451" s="135"/>
      <c r="E451" s="135"/>
    </row>
    <row r="452">
      <c r="A452" s="135"/>
      <c r="E452" s="135"/>
    </row>
    <row r="453">
      <c r="A453" s="135"/>
      <c r="E453" s="135"/>
    </row>
    <row r="454">
      <c r="A454" s="135"/>
      <c r="E454" s="135"/>
    </row>
    <row r="455">
      <c r="A455" s="135"/>
      <c r="E455" s="135"/>
    </row>
    <row r="456">
      <c r="A456" s="135"/>
      <c r="E456" s="135"/>
    </row>
    <row r="457">
      <c r="A457" s="135"/>
      <c r="E457" s="135"/>
    </row>
    <row r="458">
      <c r="A458" s="135"/>
      <c r="E458" s="135"/>
    </row>
    <row r="459">
      <c r="A459" s="135"/>
      <c r="E459" s="135"/>
    </row>
    <row r="460">
      <c r="A460" s="135"/>
      <c r="E460" s="135"/>
    </row>
    <row r="461">
      <c r="A461" s="135"/>
      <c r="E461" s="135"/>
    </row>
    <row r="462">
      <c r="A462" s="135"/>
      <c r="E462" s="135"/>
    </row>
    <row r="463">
      <c r="A463" s="135"/>
      <c r="E463" s="135"/>
    </row>
    <row r="464">
      <c r="A464" s="135"/>
      <c r="E464" s="135"/>
    </row>
    <row r="465">
      <c r="A465" s="135"/>
      <c r="E465" s="135"/>
    </row>
    <row r="466">
      <c r="A466" s="135"/>
      <c r="E466" s="135"/>
    </row>
    <row r="467">
      <c r="A467" s="135"/>
      <c r="E467" s="135"/>
    </row>
    <row r="468">
      <c r="A468" s="135"/>
      <c r="E468" s="135"/>
    </row>
    <row r="469">
      <c r="A469" s="135"/>
      <c r="E469" s="135"/>
    </row>
    <row r="470">
      <c r="A470" s="135"/>
      <c r="E470" s="135"/>
    </row>
    <row r="471">
      <c r="A471" s="135"/>
      <c r="E471" s="135"/>
    </row>
    <row r="472">
      <c r="A472" s="135"/>
      <c r="E472" s="135"/>
    </row>
    <row r="473">
      <c r="A473" s="135"/>
      <c r="E473" s="135"/>
    </row>
    <row r="474">
      <c r="A474" s="135"/>
      <c r="E474" s="135"/>
    </row>
    <row r="475">
      <c r="A475" s="135"/>
      <c r="E475" s="135"/>
    </row>
    <row r="476">
      <c r="A476" s="135"/>
      <c r="E476" s="135"/>
    </row>
    <row r="477">
      <c r="A477" s="135"/>
      <c r="E477" s="135"/>
    </row>
    <row r="478">
      <c r="A478" s="135"/>
      <c r="E478" s="135"/>
    </row>
    <row r="479">
      <c r="A479" s="135"/>
      <c r="E479" s="135"/>
    </row>
    <row r="480">
      <c r="A480" s="135"/>
      <c r="E480" s="135"/>
    </row>
    <row r="481">
      <c r="A481" s="135"/>
      <c r="E481" s="135"/>
    </row>
    <row r="482">
      <c r="A482" s="135"/>
      <c r="E482" s="135"/>
    </row>
    <row r="483">
      <c r="A483" s="135"/>
      <c r="E483" s="135"/>
    </row>
    <row r="484">
      <c r="A484" s="135"/>
      <c r="E484" s="135"/>
    </row>
    <row r="485">
      <c r="A485" s="135"/>
      <c r="E485" s="135"/>
    </row>
    <row r="486">
      <c r="A486" s="135"/>
      <c r="E486" s="135"/>
    </row>
    <row r="487">
      <c r="A487" s="135"/>
      <c r="E487" s="135"/>
    </row>
    <row r="488">
      <c r="A488" s="135"/>
      <c r="E488" s="135"/>
    </row>
    <row r="489">
      <c r="A489" s="135"/>
      <c r="E489" s="135"/>
    </row>
    <row r="490">
      <c r="A490" s="135"/>
      <c r="E490" s="135"/>
    </row>
    <row r="491">
      <c r="A491" s="135"/>
      <c r="E491" s="135"/>
    </row>
    <row r="492">
      <c r="A492" s="135"/>
      <c r="E492" s="135"/>
    </row>
    <row r="493">
      <c r="A493" s="135"/>
      <c r="E493" s="135"/>
    </row>
    <row r="494">
      <c r="A494" s="135"/>
      <c r="E494" s="135"/>
    </row>
    <row r="495">
      <c r="A495" s="135"/>
      <c r="E495" s="135"/>
    </row>
    <row r="496">
      <c r="A496" s="135"/>
      <c r="E496" s="135"/>
    </row>
    <row r="497">
      <c r="A497" s="135"/>
      <c r="E497" s="135"/>
    </row>
    <row r="498">
      <c r="A498" s="135"/>
      <c r="E498" s="135"/>
    </row>
    <row r="499">
      <c r="A499" s="135"/>
      <c r="E499" s="135"/>
    </row>
    <row r="500">
      <c r="A500" s="135"/>
      <c r="E500" s="135"/>
    </row>
    <row r="501">
      <c r="A501" s="135"/>
      <c r="E501" s="135"/>
    </row>
    <row r="502">
      <c r="A502" s="135"/>
      <c r="E502" s="135"/>
    </row>
    <row r="503">
      <c r="A503" s="135"/>
      <c r="E503" s="135"/>
    </row>
    <row r="504">
      <c r="A504" s="135"/>
      <c r="E504" s="135"/>
    </row>
    <row r="505">
      <c r="A505" s="135"/>
      <c r="E505" s="135"/>
    </row>
    <row r="506">
      <c r="A506" s="135"/>
      <c r="E506" s="135"/>
    </row>
    <row r="507">
      <c r="A507" s="135"/>
      <c r="E507" s="135"/>
    </row>
    <row r="508">
      <c r="A508" s="135"/>
      <c r="E508" s="135"/>
    </row>
    <row r="509">
      <c r="A509" s="135"/>
      <c r="E509" s="135"/>
    </row>
    <row r="510">
      <c r="A510" s="135"/>
      <c r="E510" s="135"/>
    </row>
    <row r="511">
      <c r="A511" s="135"/>
      <c r="E511" s="135"/>
    </row>
    <row r="512">
      <c r="A512" s="135"/>
      <c r="E512" s="135"/>
    </row>
    <row r="513">
      <c r="A513" s="135"/>
      <c r="E513" s="135"/>
    </row>
    <row r="514">
      <c r="A514" s="135"/>
      <c r="E514" s="135"/>
    </row>
    <row r="515">
      <c r="A515" s="135"/>
      <c r="E515" s="135"/>
    </row>
    <row r="516">
      <c r="A516" s="135"/>
      <c r="E516" s="135"/>
    </row>
    <row r="517">
      <c r="A517" s="135"/>
      <c r="E517" s="135"/>
    </row>
    <row r="518">
      <c r="A518" s="135"/>
      <c r="E518" s="135"/>
    </row>
    <row r="519">
      <c r="A519" s="135"/>
      <c r="E519" s="135"/>
    </row>
    <row r="520">
      <c r="A520" s="135"/>
      <c r="E520" s="135"/>
    </row>
    <row r="521">
      <c r="A521" s="135"/>
      <c r="E521" s="135"/>
    </row>
    <row r="522">
      <c r="A522" s="135"/>
      <c r="E522" s="135"/>
    </row>
    <row r="523">
      <c r="A523" s="135"/>
      <c r="E523" s="135"/>
    </row>
    <row r="524">
      <c r="A524" s="135"/>
      <c r="E524" s="135"/>
    </row>
    <row r="525">
      <c r="A525" s="135"/>
      <c r="E525" s="135"/>
    </row>
    <row r="526">
      <c r="A526" s="135"/>
      <c r="E526" s="135"/>
    </row>
    <row r="527">
      <c r="A527" s="135"/>
      <c r="E527" s="135"/>
    </row>
    <row r="528">
      <c r="A528" s="135"/>
      <c r="E528" s="135"/>
    </row>
    <row r="529">
      <c r="A529" s="135"/>
      <c r="E529" s="135"/>
    </row>
    <row r="530">
      <c r="A530" s="135"/>
      <c r="E530" s="135"/>
    </row>
    <row r="531">
      <c r="A531" s="135"/>
      <c r="E531" s="135"/>
    </row>
    <row r="532">
      <c r="A532" s="135"/>
      <c r="E532" s="135"/>
    </row>
    <row r="533">
      <c r="A533" s="135"/>
      <c r="E533" s="135"/>
    </row>
    <row r="534">
      <c r="A534" s="135"/>
      <c r="E534" s="135"/>
    </row>
    <row r="535">
      <c r="A535" s="135"/>
      <c r="E535" s="135"/>
    </row>
    <row r="536">
      <c r="A536" s="135"/>
      <c r="E536" s="135"/>
    </row>
    <row r="537">
      <c r="A537" s="135"/>
      <c r="E537" s="135"/>
    </row>
    <row r="538">
      <c r="A538" s="135"/>
      <c r="E538" s="135"/>
    </row>
    <row r="539">
      <c r="A539" s="135"/>
      <c r="E539" s="135"/>
    </row>
    <row r="540">
      <c r="A540" s="135"/>
      <c r="E540" s="135"/>
    </row>
    <row r="541">
      <c r="A541" s="135"/>
      <c r="E541" s="135"/>
    </row>
    <row r="542">
      <c r="A542" s="135"/>
      <c r="E542" s="135"/>
    </row>
    <row r="543">
      <c r="A543" s="135"/>
      <c r="E543" s="135"/>
    </row>
    <row r="544">
      <c r="A544" s="135"/>
      <c r="E544" s="135"/>
    </row>
    <row r="545">
      <c r="A545" s="135"/>
      <c r="E545" s="135"/>
    </row>
    <row r="546">
      <c r="A546" s="135"/>
      <c r="E546" s="135"/>
    </row>
    <row r="547">
      <c r="A547" s="135"/>
      <c r="E547" s="135"/>
    </row>
    <row r="548">
      <c r="A548" s="135"/>
      <c r="E548" s="135"/>
    </row>
    <row r="549">
      <c r="A549" s="135"/>
      <c r="E549" s="135"/>
    </row>
    <row r="550">
      <c r="A550" s="135"/>
      <c r="E550" s="135"/>
    </row>
    <row r="551">
      <c r="A551" s="135"/>
      <c r="E551" s="135"/>
    </row>
    <row r="552">
      <c r="A552" s="135"/>
      <c r="E552" s="135"/>
    </row>
    <row r="553">
      <c r="A553" s="135"/>
      <c r="E553" s="135"/>
    </row>
    <row r="554">
      <c r="A554" s="135"/>
      <c r="E554" s="135"/>
    </row>
    <row r="555">
      <c r="A555" s="135"/>
      <c r="E555" s="135"/>
    </row>
    <row r="556">
      <c r="A556" s="135"/>
      <c r="E556" s="135"/>
    </row>
    <row r="557">
      <c r="A557" s="135"/>
      <c r="E557" s="135"/>
    </row>
    <row r="558">
      <c r="A558" s="135"/>
      <c r="E558" s="135"/>
    </row>
    <row r="559">
      <c r="A559" s="135"/>
      <c r="E559" s="135"/>
    </row>
    <row r="560">
      <c r="A560" s="135"/>
      <c r="E560" s="135"/>
    </row>
    <row r="561">
      <c r="A561" s="135"/>
      <c r="E561" s="135"/>
    </row>
    <row r="562">
      <c r="A562" s="135"/>
      <c r="E562" s="135"/>
    </row>
    <row r="563">
      <c r="A563" s="135"/>
      <c r="E563" s="135"/>
    </row>
    <row r="564">
      <c r="A564" s="135"/>
      <c r="E564" s="135"/>
    </row>
    <row r="565">
      <c r="A565" s="135"/>
      <c r="E565" s="135"/>
    </row>
    <row r="566">
      <c r="A566" s="135"/>
      <c r="E566" s="135"/>
    </row>
    <row r="567">
      <c r="A567" s="135"/>
      <c r="E567" s="135"/>
    </row>
    <row r="568">
      <c r="A568" s="135"/>
      <c r="E568" s="135"/>
    </row>
    <row r="569">
      <c r="A569" s="135"/>
      <c r="E569" s="135"/>
    </row>
    <row r="570">
      <c r="A570" s="135"/>
      <c r="E570" s="135"/>
    </row>
    <row r="571">
      <c r="A571" s="135"/>
      <c r="E571" s="135"/>
    </row>
    <row r="572">
      <c r="A572" s="135"/>
      <c r="E572" s="135"/>
    </row>
    <row r="573">
      <c r="A573" s="135"/>
      <c r="E573" s="135"/>
    </row>
    <row r="574">
      <c r="A574" s="135"/>
      <c r="E574" s="135"/>
    </row>
    <row r="575">
      <c r="A575" s="135"/>
      <c r="E575" s="135"/>
    </row>
    <row r="576">
      <c r="A576" s="135"/>
      <c r="E576" s="135"/>
    </row>
    <row r="577">
      <c r="A577" s="135"/>
      <c r="E577" s="135"/>
    </row>
    <row r="578">
      <c r="A578" s="135"/>
      <c r="E578" s="135"/>
    </row>
    <row r="579">
      <c r="A579" s="135"/>
      <c r="E579" s="135"/>
    </row>
    <row r="580">
      <c r="A580" s="135"/>
      <c r="E580" s="135"/>
    </row>
    <row r="581">
      <c r="A581" s="135"/>
      <c r="E581" s="135"/>
    </row>
    <row r="582">
      <c r="A582" s="135"/>
      <c r="E582" s="135"/>
    </row>
    <row r="583">
      <c r="A583" s="135"/>
      <c r="E583" s="135"/>
    </row>
    <row r="584">
      <c r="A584" s="135"/>
      <c r="E584" s="135"/>
    </row>
    <row r="585">
      <c r="A585" s="135"/>
      <c r="E585" s="135"/>
    </row>
    <row r="586">
      <c r="A586" s="135"/>
      <c r="E586" s="135"/>
    </row>
    <row r="587">
      <c r="A587" s="135"/>
      <c r="E587" s="135"/>
    </row>
    <row r="588">
      <c r="A588" s="135"/>
      <c r="E588" s="135"/>
    </row>
    <row r="589">
      <c r="A589" s="135"/>
      <c r="E589" s="135"/>
    </row>
    <row r="590">
      <c r="A590" s="135"/>
      <c r="E590" s="135"/>
    </row>
    <row r="591">
      <c r="A591" s="135"/>
      <c r="E591" s="135"/>
    </row>
    <row r="592">
      <c r="A592" s="135"/>
      <c r="E592" s="135"/>
    </row>
    <row r="593">
      <c r="A593" s="135"/>
      <c r="E593" s="135"/>
    </row>
    <row r="594">
      <c r="A594" s="135"/>
      <c r="E594" s="135"/>
    </row>
    <row r="595">
      <c r="A595" s="135"/>
      <c r="E595" s="135"/>
    </row>
    <row r="596">
      <c r="A596" s="135"/>
      <c r="E596" s="135"/>
    </row>
    <row r="597">
      <c r="A597" s="135"/>
      <c r="E597" s="135"/>
    </row>
    <row r="598">
      <c r="A598" s="135"/>
      <c r="E598" s="135"/>
    </row>
    <row r="599">
      <c r="A599" s="135"/>
      <c r="E599" s="135"/>
    </row>
    <row r="600">
      <c r="A600" s="135"/>
      <c r="E600" s="135"/>
    </row>
    <row r="601">
      <c r="A601" s="135"/>
      <c r="E601" s="135"/>
    </row>
    <row r="602">
      <c r="A602" s="135"/>
      <c r="E602" s="135"/>
    </row>
    <row r="603">
      <c r="A603" s="135"/>
      <c r="E603" s="135"/>
    </row>
    <row r="604">
      <c r="A604" s="135"/>
      <c r="E604" s="135"/>
    </row>
    <row r="605">
      <c r="A605" s="135"/>
      <c r="E605" s="135"/>
    </row>
    <row r="606">
      <c r="A606" s="135"/>
      <c r="E606" s="135"/>
    </row>
    <row r="607">
      <c r="A607" s="135"/>
      <c r="E607" s="135"/>
    </row>
    <row r="608">
      <c r="A608" s="135"/>
      <c r="E608" s="135"/>
    </row>
    <row r="609">
      <c r="A609" s="135"/>
      <c r="E609" s="135"/>
    </row>
    <row r="610">
      <c r="A610" s="135"/>
      <c r="E610" s="135"/>
    </row>
    <row r="611">
      <c r="A611" s="135"/>
      <c r="E611" s="135"/>
    </row>
    <row r="612">
      <c r="A612" s="135"/>
      <c r="E612" s="135"/>
    </row>
    <row r="613">
      <c r="A613" s="135"/>
      <c r="E613" s="135"/>
    </row>
    <row r="614">
      <c r="A614" s="135"/>
      <c r="E614" s="135"/>
    </row>
    <row r="615">
      <c r="A615" s="135"/>
      <c r="E615" s="135"/>
    </row>
    <row r="616">
      <c r="A616" s="135"/>
      <c r="E616" s="135"/>
    </row>
    <row r="617">
      <c r="A617" s="135"/>
      <c r="E617" s="135"/>
    </row>
    <row r="618">
      <c r="A618" s="135"/>
      <c r="E618" s="135"/>
    </row>
    <row r="619">
      <c r="A619" s="135"/>
      <c r="E619" s="135"/>
    </row>
    <row r="620">
      <c r="A620" s="135"/>
      <c r="E620" s="135"/>
    </row>
    <row r="621">
      <c r="A621" s="135"/>
      <c r="E621" s="135"/>
    </row>
    <row r="622">
      <c r="A622" s="135"/>
      <c r="E622" s="135"/>
    </row>
    <row r="623">
      <c r="A623" s="135"/>
      <c r="E623" s="135"/>
    </row>
    <row r="624">
      <c r="A624" s="135"/>
      <c r="E624" s="135"/>
    </row>
    <row r="625">
      <c r="A625" s="135"/>
      <c r="E625" s="135"/>
    </row>
    <row r="626">
      <c r="A626" s="135"/>
      <c r="E626" s="135"/>
    </row>
    <row r="627">
      <c r="A627" s="135"/>
      <c r="E627" s="135"/>
    </row>
    <row r="628">
      <c r="A628" s="135"/>
      <c r="E628" s="135"/>
    </row>
    <row r="629">
      <c r="A629" s="135"/>
      <c r="E629" s="135"/>
    </row>
    <row r="630">
      <c r="A630" s="135"/>
      <c r="E630" s="135"/>
    </row>
    <row r="631">
      <c r="A631" s="135"/>
      <c r="E631" s="135"/>
    </row>
    <row r="632">
      <c r="A632" s="135"/>
      <c r="E632" s="135"/>
    </row>
    <row r="633">
      <c r="A633" s="135"/>
      <c r="E633" s="135"/>
    </row>
    <row r="634">
      <c r="A634" s="135"/>
      <c r="E634" s="135"/>
    </row>
    <row r="635">
      <c r="A635" s="135"/>
      <c r="E635" s="135"/>
    </row>
    <row r="636">
      <c r="A636" s="135"/>
      <c r="E636" s="135"/>
    </row>
    <row r="637">
      <c r="A637" s="135"/>
      <c r="E637" s="135"/>
    </row>
    <row r="638">
      <c r="A638" s="135"/>
      <c r="E638" s="135"/>
    </row>
    <row r="639">
      <c r="A639" s="135"/>
      <c r="E639" s="135"/>
    </row>
    <row r="640">
      <c r="A640" s="135"/>
      <c r="E640" s="135"/>
    </row>
    <row r="641">
      <c r="A641" s="135"/>
      <c r="E641" s="135"/>
    </row>
    <row r="642">
      <c r="A642" s="135"/>
      <c r="E642" s="135"/>
    </row>
    <row r="643">
      <c r="A643" s="135"/>
      <c r="E643" s="135"/>
    </row>
    <row r="644">
      <c r="A644" s="135"/>
      <c r="E644" s="135"/>
    </row>
    <row r="645">
      <c r="A645" s="135"/>
      <c r="E645" s="135"/>
    </row>
    <row r="646">
      <c r="A646" s="135"/>
      <c r="E646" s="135"/>
    </row>
    <row r="647">
      <c r="A647" s="135"/>
      <c r="E647" s="135"/>
    </row>
    <row r="648">
      <c r="A648" s="135"/>
      <c r="E648" s="135"/>
    </row>
    <row r="649">
      <c r="A649" s="135"/>
      <c r="E649" s="135"/>
    </row>
    <row r="650">
      <c r="A650" s="135"/>
      <c r="E650" s="135"/>
    </row>
    <row r="651">
      <c r="A651" s="135"/>
      <c r="E651" s="135"/>
    </row>
    <row r="652">
      <c r="A652" s="135"/>
      <c r="E652" s="135"/>
    </row>
    <row r="653">
      <c r="A653" s="135"/>
      <c r="E653" s="135"/>
    </row>
    <row r="654">
      <c r="A654" s="135"/>
      <c r="E654" s="135"/>
    </row>
    <row r="655">
      <c r="A655" s="135"/>
      <c r="E655" s="135"/>
    </row>
    <row r="656">
      <c r="A656" s="135"/>
      <c r="E656" s="135"/>
    </row>
    <row r="657">
      <c r="A657" s="135"/>
      <c r="E657" s="135"/>
    </row>
    <row r="658">
      <c r="A658" s="135"/>
      <c r="E658" s="135"/>
    </row>
    <row r="659">
      <c r="A659" s="135"/>
      <c r="E659" s="135"/>
    </row>
    <row r="660">
      <c r="A660" s="135"/>
      <c r="E660" s="135"/>
    </row>
    <row r="661">
      <c r="A661" s="135"/>
      <c r="E661" s="135"/>
    </row>
    <row r="662">
      <c r="A662" s="135"/>
      <c r="E662" s="135"/>
    </row>
    <row r="663">
      <c r="A663" s="135"/>
      <c r="E663" s="135"/>
    </row>
    <row r="664">
      <c r="A664" s="135"/>
      <c r="E664" s="135"/>
    </row>
    <row r="665">
      <c r="A665" s="135"/>
      <c r="E665" s="135"/>
    </row>
    <row r="666">
      <c r="A666" s="135"/>
      <c r="E666" s="135"/>
    </row>
    <row r="667">
      <c r="A667" s="135"/>
      <c r="E667" s="135"/>
    </row>
    <row r="668">
      <c r="A668" s="135"/>
      <c r="E668" s="135"/>
    </row>
    <row r="669">
      <c r="A669" s="135"/>
      <c r="E669" s="135"/>
    </row>
    <row r="670">
      <c r="A670" s="135"/>
      <c r="E670" s="135"/>
    </row>
    <row r="671">
      <c r="A671" s="135"/>
      <c r="E671" s="135"/>
    </row>
    <row r="672">
      <c r="A672" s="135"/>
      <c r="E672" s="135"/>
    </row>
    <row r="673">
      <c r="A673" s="135"/>
      <c r="E673" s="135"/>
    </row>
    <row r="674">
      <c r="A674" s="135"/>
      <c r="E674" s="135"/>
    </row>
    <row r="675">
      <c r="A675" s="135"/>
      <c r="E675" s="135"/>
    </row>
    <row r="676">
      <c r="A676" s="135"/>
      <c r="E676" s="135"/>
    </row>
    <row r="677">
      <c r="A677" s="135"/>
      <c r="E677" s="135"/>
    </row>
    <row r="678">
      <c r="A678" s="135"/>
      <c r="E678" s="135"/>
    </row>
    <row r="679">
      <c r="A679" s="135"/>
      <c r="E679" s="135"/>
    </row>
    <row r="680">
      <c r="A680" s="135"/>
      <c r="E680" s="135"/>
    </row>
    <row r="681">
      <c r="A681" s="135"/>
      <c r="E681" s="135"/>
    </row>
    <row r="682">
      <c r="A682" s="135"/>
      <c r="E682" s="135"/>
    </row>
    <row r="683">
      <c r="A683" s="135"/>
      <c r="E683" s="135"/>
    </row>
    <row r="684">
      <c r="A684" s="135"/>
      <c r="E684" s="135"/>
    </row>
    <row r="685">
      <c r="A685" s="135"/>
      <c r="E685" s="135"/>
    </row>
    <row r="686">
      <c r="A686" s="135"/>
      <c r="E686" s="135"/>
    </row>
    <row r="687">
      <c r="A687" s="135"/>
      <c r="E687" s="135"/>
    </row>
    <row r="688">
      <c r="A688" s="135"/>
      <c r="E688" s="135"/>
    </row>
    <row r="689">
      <c r="A689" s="135"/>
      <c r="E689" s="135"/>
    </row>
    <row r="690">
      <c r="A690" s="135"/>
      <c r="E690" s="135"/>
    </row>
    <row r="691">
      <c r="A691" s="135"/>
      <c r="E691" s="135"/>
    </row>
    <row r="692">
      <c r="A692" s="135"/>
      <c r="E692" s="135"/>
    </row>
    <row r="693">
      <c r="A693" s="135"/>
      <c r="E693" s="135"/>
    </row>
    <row r="694">
      <c r="A694" s="135"/>
      <c r="E694" s="135"/>
    </row>
    <row r="695">
      <c r="A695" s="135"/>
      <c r="E695" s="135"/>
    </row>
    <row r="696">
      <c r="A696" s="135"/>
      <c r="E696" s="135"/>
    </row>
    <row r="697">
      <c r="A697" s="135"/>
      <c r="E697" s="135"/>
    </row>
    <row r="698">
      <c r="A698" s="135"/>
      <c r="E698" s="135"/>
    </row>
    <row r="699">
      <c r="A699" s="135"/>
      <c r="E699" s="135"/>
    </row>
    <row r="700">
      <c r="A700" s="135"/>
      <c r="E700" s="135"/>
    </row>
    <row r="701">
      <c r="A701" s="135"/>
      <c r="E701" s="135"/>
    </row>
    <row r="702">
      <c r="A702" s="135"/>
      <c r="E702" s="135"/>
    </row>
    <row r="703">
      <c r="A703" s="135"/>
      <c r="E703" s="135"/>
    </row>
    <row r="704">
      <c r="A704" s="135"/>
      <c r="E704" s="135"/>
    </row>
    <row r="705">
      <c r="A705" s="135"/>
      <c r="E705" s="135"/>
    </row>
    <row r="706">
      <c r="A706" s="135"/>
      <c r="E706" s="135"/>
    </row>
    <row r="707">
      <c r="A707" s="135"/>
      <c r="E707" s="135"/>
    </row>
    <row r="708">
      <c r="A708" s="135"/>
      <c r="E708" s="135"/>
    </row>
    <row r="709">
      <c r="A709" s="135"/>
      <c r="E709" s="135"/>
    </row>
    <row r="710">
      <c r="A710" s="135"/>
      <c r="E710" s="135"/>
    </row>
    <row r="711">
      <c r="A711" s="135"/>
      <c r="E711" s="135"/>
    </row>
    <row r="712">
      <c r="A712" s="135"/>
      <c r="E712" s="135"/>
    </row>
    <row r="713">
      <c r="A713" s="135"/>
      <c r="E713" s="135"/>
    </row>
    <row r="714">
      <c r="A714" s="135"/>
      <c r="E714" s="135"/>
    </row>
    <row r="715">
      <c r="A715" s="135"/>
      <c r="E715" s="135"/>
    </row>
    <row r="716">
      <c r="A716" s="135"/>
      <c r="E716" s="135"/>
    </row>
    <row r="717">
      <c r="A717" s="135"/>
      <c r="E717" s="135"/>
    </row>
    <row r="718">
      <c r="A718" s="135"/>
      <c r="E718" s="135"/>
    </row>
    <row r="719">
      <c r="A719" s="135"/>
      <c r="E719" s="135"/>
    </row>
    <row r="720">
      <c r="A720" s="135"/>
      <c r="E720" s="135"/>
    </row>
    <row r="721">
      <c r="A721" s="135"/>
      <c r="E721" s="135"/>
    </row>
    <row r="722">
      <c r="A722" s="135"/>
      <c r="E722" s="135"/>
    </row>
    <row r="723">
      <c r="A723" s="135"/>
      <c r="E723" s="135"/>
    </row>
    <row r="724">
      <c r="A724" s="135"/>
      <c r="E724" s="135"/>
    </row>
    <row r="725">
      <c r="A725" s="135"/>
      <c r="E725" s="135"/>
    </row>
    <row r="726">
      <c r="A726" s="135"/>
      <c r="E726" s="135"/>
    </row>
    <row r="727">
      <c r="A727" s="135"/>
      <c r="E727" s="135"/>
    </row>
    <row r="728">
      <c r="A728" s="135"/>
      <c r="E728" s="135"/>
    </row>
    <row r="729">
      <c r="A729" s="135"/>
      <c r="E729" s="135"/>
    </row>
    <row r="730">
      <c r="A730" s="135"/>
      <c r="E730" s="135"/>
    </row>
    <row r="731">
      <c r="A731" s="135"/>
      <c r="E731" s="135"/>
    </row>
    <row r="732">
      <c r="A732" s="135"/>
      <c r="E732" s="135"/>
    </row>
    <row r="733">
      <c r="A733" s="135"/>
      <c r="E733" s="135"/>
    </row>
    <row r="734">
      <c r="A734" s="135"/>
      <c r="E734" s="135"/>
    </row>
    <row r="735">
      <c r="A735" s="135"/>
      <c r="E735" s="135"/>
    </row>
    <row r="736">
      <c r="A736" s="135"/>
      <c r="E736" s="135"/>
    </row>
    <row r="737">
      <c r="A737" s="135"/>
      <c r="E737" s="135"/>
    </row>
    <row r="738">
      <c r="A738" s="135"/>
      <c r="E738" s="135"/>
    </row>
    <row r="739">
      <c r="A739" s="135"/>
      <c r="E739" s="135"/>
    </row>
    <row r="740">
      <c r="A740" s="135"/>
      <c r="E740" s="135"/>
    </row>
    <row r="741">
      <c r="A741" s="135"/>
      <c r="E741" s="135"/>
    </row>
    <row r="742">
      <c r="A742" s="135"/>
      <c r="E742" s="135"/>
    </row>
    <row r="743">
      <c r="A743" s="135"/>
      <c r="E743" s="135"/>
    </row>
    <row r="744">
      <c r="A744" s="135"/>
      <c r="E744" s="135"/>
    </row>
    <row r="745">
      <c r="A745" s="135"/>
      <c r="E745" s="135"/>
    </row>
    <row r="746">
      <c r="A746" s="135"/>
      <c r="E746" s="135"/>
    </row>
    <row r="747">
      <c r="A747" s="135"/>
      <c r="E747" s="135"/>
    </row>
    <row r="748">
      <c r="A748" s="135"/>
      <c r="E748" s="135"/>
    </row>
    <row r="749">
      <c r="A749" s="135"/>
      <c r="E749" s="135"/>
    </row>
    <row r="750">
      <c r="A750" s="135"/>
      <c r="E750" s="135"/>
    </row>
    <row r="751">
      <c r="A751" s="135"/>
      <c r="E751" s="135"/>
    </row>
    <row r="752">
      <c r="A752" s="135"/>
      <c r="E752" s="135"/>
    </row>
    <row r="753">
      <c r="A753" s="135"/>
      <c r="E753" s="135"/>
    </row>
    <row r="754">
      <c r="A754" s="135"/>
      <c r="E754" s="135"/>
    </row>
    <row r="755">
      <c r="A755" s="135"/>
      <c r="E755" s="135"/>
    </row>
    <row r="756">
      <c r="A756" s="135"/>
      <c r="E756" s="135"/>
    </row>
    <row r="757">
      <c r="A757" s="135"/>
      <c r="E757" s="135"/>
    </row>
    <row r="758">
      <c r="A758" s="135"/>
      <c r="E758" s="135"/>
    </row>
    <row r="759">
      <c r="A759" s="135"/>
      <c r="E759" s="135"/>
    </row>
    <row r="760">
      <c r="A760" s="135"/>
      <c r="E760" s="135"/>
    </row>
    <row r="761">
      <c r="A761" s="135"/>
      <c r="E761" s="135"/>
    </row>
    <row r="762">
      <c r="A762" s="135"/>
      <c r="E762" s="135"/>
    </row>
    <row r="763">
      <c r="A763" s="135"/>
      <c r="E763" s="135"/>
    </row>
    <row r="764">
      <c r="A764" s="135"/>
      <c r="E764" s="135"/>
    </row>
    <row r="765">
      <c r="A765" s="135"/>
      <c r="E765" s="135"/>
    </row>
    <row r="766">
      <c r="A766" s="135"/>
      <c r="E766" s="135"/>
    </row>
    <row r="767">
      <c r="A767" s="135"/>
      <c r="E767" s="135"/>
    </row>
    <row r="768">
      <c r="A768" s="135"/>
      <c r="E768" s="135"/>
    </row>
    <row r="769">
      <c r="A769" s="135"/>
      <c r="E769" s="135"/>
    </row>
    <row r="770">
      <c r="A770" s="135"/>
      <c r="E770" s="135"/>
    </row>
    <row r="771">
      <c r="A771" s="135"/>
      <c r="E771" s="135"/>
    </row>
    <row r="772">
      <c r="A772" s="135"/>
      <c r="E772" s="135"/>
    </row>
    <row r="773">
      <c r="A773" s="135"/>
      <c r="E773" s="135"/>
    </row>
    <row r="774">
      <c r="A774" s="135"/>
      <c r="E774" s="135"/>
    </row>
    <row r="775">
      <c r="A775" s="135"/>
      <c r="E775" s="135"/>
    </row>
    <row r="776">
      <c r="A776" s="135"/>
      <c r="E776" s="135"/>
    </row>
    <row r="777">
      <c r="A777" s="135"/>
      <c r="E777" s="135"/>
    </row>
    <row r="778">
      <c r="A778" s="135"/>
      <c r="E778" s="135"/>
    </row>
    <row r="779">
      <c r="A779" s="135"/>
      <c r="E779" s="135"/>
    </row>
    <row r="780">
      <c r="A780" s="135"/>
      <c r="E780" s="135"/>
    </row>
    <row r="781">
      <c r="A781" s="135"/>
      <c r="E781" s="135"/>
    </row>
    <row r="782">
      <c r="A782" s="135"/>
      <c r="E782" s="135"/>
    </row>
    <row r="783">
      <c r="A783" s="135"/>
      <c r="E783" s="135"/>
    </row>
    <row r="784">
      <c r="A784" s="135"/>
      <c r="E784" s="135"/>
    </row>
    <row r="785">
      <c r="A785" s="135"/>
      <c r="E785" s="135"/>
    </row>
    <row r="786">
      <c r="A786" s="135"/>
      <c r="E786" s="135"/>
    </row>
    <row r="787">
      <c r="A787" s="135"/>
      <c r="E787" s="135"/>
    </row>
    <row r="788">
      <c r="A788" s="135"/>
      <c r="E788" s="135"/>
    </row>
    <row r="789">
      <c r="A789" s="135"/>
      <c r="E789" s="135"/>
    </row>
    <row r="790">
      <c r="A790" s="135"/>
      <c r="E790" s="135"/>
    </row>
    <row r="791">
      <c r="A791" s="135"/>
      <c r="E791" s="135"/>
    </row>
    <row r="792">
      <c r="A792" s="135"/>
      <c r="E792" s="135"/>
    </row>
    <row r="793">
      <c r="A793" s="135"/>
      <c r="E793" s="135"/>
    </row>
    <row r="794">
      <c r="A794" s="135"/>
      <c r="E794" s="135"/>
    </row>
    <row r="795">
      <c r="A795" s="135"/>
      <c r="E795" s="135"/>
    </row>
    <row r="796">
      <c r="A796" s="135"/>
      <c r="E796" s="135"/>
    </row>
    <row r="797">
      <c r="A797" s="135"/>
      <c r="E797" s="135"/>
    </row>
    <row r="798">
      <c r="A798" s="135"/>
      <c r="E798" s="135"/>
    </row>
    <row r="799">
      <c r="A799" s="135"/>
      <c r="E799" s="135"/>
    </row>
    <row r="800">
      <c r="A800" s="135"/>
      <c r="E800" s="135"/>
    </row>
    <row r="801">
      <c r="A801" s="135"/>
      <c r="E801" s="135"/>
    </row>
    <row r="802">
      <c r="A802" s="135"/>
      <c r="E802" s="135"/>
    </row>
    <row r="803">
      <c r="A803" s="135"/>
      <c r="E803" s="135"/>
    </row>
    <row r="804">
      <c r="A804" s="135"/>
      <c r="E804" s="135"/>
    </row>
    <row r="805">
      <c r="A805" s="135"/>
      <c r="E805" s="135"/>
    </row>
    <row r="806">
      <c r="A806" s="135"/>
      <c r="E806" s="135"/>
    </row>
    <row r="807">
      <c r="A807" s="135"/>
      <c r="E807" s="135"/>
    </row>
    <row r="808">
      <c r="A808" s="135"/>
      <c r="E808" s="135"/>
    </row>
    <row r="809">
      <c r="A809" s="135"/>
      <c r="E809" s="135"/>
    </row>
    <row r="810">
      <c r="A810" s="135"/>
      <c r="E810" s="135"/>
    </row>
    <row r="811">
      <c r="A811" s="135"/>
      <c r="E811" s="135"/>
    </row>
    <row r="812">
      <c r="A812" s="135"/>
      <c r="E812" s="135"/>
    </row>
    <row r="813">
      <c r="A813" s="135"/>
      <c r="E813" s="135"/>
    </row>
    <row r="814">
      <c r="A814" s="135"/>
      <c r="E814" s="135"/>
    </row>
    <row r="815">
      <c r="A815" s="135"/>
      <c r="E815" s="135"/>
    </row>
    <row r="816">
      <c r="A816" s="135"/>
      <c r="E816" s="135"/>
    </row>
    <row r="817">
      <c r="A817" s="135"/>
      <c r="E817" s="135"/>
    </row>
    <row r="818">
      <c r="A818" s="135"/>
      <c r="E818" s="135"/>
    </row>
    <row r="819">
      <c r="A819" s="135"/>
      <c r="E819" s="135"/>
    </row>
    <row r="820">
      <c r="A820" s="135"/>
      <c r="E820" s="135"/>
    </row>
    <row r="821">
      <c r="A821" s="135"/>
      <c r="E821" s="135"/>
    </row>
    <row r="822">
      <c r="A822" s="135"/>
      <c r="E822" s="135"/>
    </row>
    <row r="823">
      <c r="A823" s="135"/>
      <c r="E823" s="135"/>
    </row>
    <row r="824">
      <c r="A824" s="135"/>
      <c r="E824" s="135"/>
    </row>
    <row r="825">
      <c r="A825" s="135"/>
      <c r="E825" s="135"/>
    </row>
    <row r="826">
      <c r="A826" s="135"/>
      <c r="E826" s="135"/>
    </row>
    <row r="827">
      <c r="A827" s="135"/>
      <c r="E827" s="135"/>
    </row>
    <row r="828">
      <c r="A828" s="135"/>
      <c r="E828" s="135"/>
    </row>
    <row r="829">
      <c r="A829" s="135"/>
      <c r="E829" s="135"/>
    </row>
    <row r="830">
      <c r="A830" s="135"/>
      <c r="E830" s="135"/>
    </row>
    <row r="831">
      <c r="A831" s="135"/>
      <c r="E831" s="135"/>
    </row>
    <row r="832">
      <c r="A832" s="135"/>
      <c r="E832" s="135"/>
    </row>
    <row r="833">
      <c r="A833" s="135"/>
      <c r="E833" s="135"/>
    </row>
    <row r="834">
      <c r="A834" s="135"/>
      <c r="E834" s="135"/>
    </row>
    <row r="835">
      <c r="A835" s="135"/>
      <c r="E835" s="135"/>
    </row>
    <row r="836">
      <c r="A836" s="135"/>
      <c r="E836" s="135"/>
    </row>
    <row r="837">
      <c r="A837" s="135"/>
      <c r="E837" s="135"/>
    </row>
    <row r="838">
      <c r="A838" s="135"/>
      <c r="E838" s="135"/>
    </row>
    <row r="839">
      <c r="A839" s="135"/>
      <c r="E839" s="135"/>
    </row>
    <row r="840">
      <c r="A840" s="135"/>
      <c r="E840" s="135"/>
    </row>
    <row r="841">
      <c r="A841" s="135"/>
      <c r="E841" s="135"/>
    </row>
    <row r="842">
      <c r="A842" s="135"/>
      <c r="E842" s="135"/>
    </row>
    <row r="843">
      <c r="A843" s="135"/>
      <c r="E843" s="135"/>
    </row>
    <row r="844">
      <c r="A844" s="135"/>
      <c r="E844" s="135"/>
    </row>
    <row r="845">
      <c r="A845" s="135"/>
      <c r="E845" s="135"/>
    </row>
    <row r="846">
      <c r="A846" s="135"/>
      <c r="E846" s="135"/>
    </row>
    <row r="847">
      <c r="A847" s="135"/>
      <c r="E847" s="135"/>
    </row>
    <row r="848">
      <c r="A848" s="135"/>
      <c r="E848" s="135"/>
    </row>
    <row r="849">
      <c r="A849" s="135"/>
      <c r="E849" s="135"/>
    </row>
    <row r="850">
      <c r="A850" s="135"/>
      <c r="E850" s="135"/>
    </row>
    <row r="851">
      <c r="A851" s="135"/>
      <c r="E851" s="135"/>
    </row>
    <row r="852">
      <c r="A852" s="135"/>
      <c r="E852" s="135"/>
    </row>
    <row r="853">
      <c r="A853" s="135"/>
      <c r="E853" s="135"/>
    </row>
    <row r="854">
      <c r="A854" s="135"/>
      <c r="E854" s="135"/>
    </row>
    <row r="855">
      <c r="A855" s="135"/>
      <c r="E855" s="135"/>
    </row>
    <row r="856">
      <c r="A856" s="135"/>
      <c r="E856" s="135"/>
    </row>
    <row r="857">
      <c r="A857" s="135"/>
      <c r="E857" s="135"/>
    </row>
    <row r="858">
      <c r="A858" s="135"/>
      <c r="E858" s="135"/>
    </row>
    <row r="859">
      <c r="A859" s="135"/>
      <c r="E859" s="135"/>
    </row>
    <row r="860">
      <c r="A860" s="135"/>
      <c r="E860" s="135"/>
    </row>
    <row r="861">
      <c r="A861" s="135"/>
      <c r="E861" s="135"/>
    </row>
    <row r="862">
      <c r="A862" s="135"/>
      <c r="E862" s="135"/>
    </row>
    <row r="863">
      <c r="A863" s="135"/>
      <c r="E863" s="135"/>
    </row>
    <row r="864">
      <c r="A864" s="135"/>
      <c r="E864" s="135"/>
    </row>
    <row r="865">
      <c r="A865" s="135"/>
      <c r="E865" s="135"/>
    </row>
    <row r="866">
      <c r="A866" s="135"/>
      <c r="E866" s="135"/>
    </row>
    <row r="867">
      <c r="A867" s="135"/>
      <c r="E867" s="135"/>
    </row>
    <row r="868">
      <c r="A868" s="135"/>
      <c r="E868" s="135"/>
    </row>
    <row r="869">
      <c r="A869" s="135"/>
      <c r="E869" s="135"/>
    </row>
    <row r="870">
      <c r="A870" s="135"/>
      <c r="E870" s="135"/>
    </row>
    <row r="871">
      <c r="A871" s="135"/>
      <c r="E871" s="135"/>
    </row>
    <row r="872">
      <c r="A872" s="135"/>
      <c r="E872" s="135"/>
    </row>
    <row r="873">
      <c r="A873" s="135"/>
      <c r="E873" s="135"/>
    </row>
    <row r="874">
      <c r="A874" s="135"/>
      <c r="E874" s="135"/>
    </row>
    <row r="875">
      <c r="A875" s="135"/>
      <c r="E875" s="135"/>
    </row>
    <row r="876">
      <c r="A876" s="135"/>
      <c r="E876" s="135"/>
    </row>
    <row r="877">
      <c r="A877" s="135"/>
      <c r="E877" s="135"/>
    </row>
    <row r="878">
      <c r="A878" s="135"/>
      <c r="E878" s="135"/>
    </row>
    <row r="879">
      <c r="A879" s="135"/>
      <c r="E879" s="135"/>
    </row>
    <row r="880">
      <c r="A880" s="135"/>
      <c r="E880" s="135"/>
    </row>
    <row r="881">
      <c r="A881" s="135"/>
      <c r="E881" s="135"/>
    </row>
    <row r="882">
      <c r="A882" s="135"/>
      <c r="E882" s="135"/>
    </row>
    <row r="883">
      <c r="A883" s="135"/>
      <c r="E883" s="135"/>
    </row>
    <row r="884">
      <c r="A884" s="135"/>
      <c r="E884" s="135"/>
    </row>
    <row r="885">
      <c r="A885" s="135"/>
      <c r="E885" s="135"/>
    </row>
    <row r="886">
      <c r="A886" s="135"/>
      <c r="E886" s="135"/>
    </row>
    <row r="887">
      <c r="A887" s="135"/>
      <c r="E887" s="135"/>
    </row>
    <row r="888">
      <c r="A888" s="135"/>
      <c r="E888" s="135"/>
    </row>
    <row r="889">
      <c r="A889" s="135"/>
      <c r="E889" s="135"/>
    </row>
    <row r="890">
      <c r="A890" s="135"/>
      <c r="E890" s="135"/>
    </row>
    <row r="891">
      <c r="A891" s="135"/>
      <c r="E891" s="135"/>
    </row>
    <row r="892">
      <c r="A892" s="135"/>
      <c r="E892" s="135"/>
    </row>
    <row r="893">
      <c r="A893" s="135"/>
      <c r="E893" s="135"/>
    </row>
    <row r="894">
      <c r="A894" s="135"/>
      <c r="E894" s="135"/>
    </row>
    <row r="895">
      <c r="A895" s="135"/>
      <c r="E895" s="135"/>
    </row>
    <row r="896">
      <c r="A896" s="135"/>
      <c r="E896" s="135"/>
    </row>
    <row r="897">
      <c r="A897" s="135"/>
      <c r="E897" s="135"/>
    </row>
    <row r="898">
      <c r="A898" s="135"/>
      <c r="E898" s="135"/>
    </row>
    <row r="899">
      <c r="A899" s="135"/>
      <c r="E899" s="135"/>
    </row>
    <row r="900">
      <c r="A900" s="135"/>
      <c r="E900" s="135"/>
    </row>
    <row r="901">
      <c r="A901" s="135"/>
      <c r="E901" s="135"/>
    </row>
    <row r="902">
      <c r="A902" s="135"/>
      <c r="E902" s="135"/>
    </row>
    <row r="903">
      <c r="A903" s="135"/>
      <c r="E903" s="135"/>
    </row>
    <row r="904">
      <c r="A904" s="135"/>
      <c r="E904" s="135"/>
    </row>
    <row r="905">
      <c r="A905" s="135"/>
      <c r="E905" s="135"/>
    </row>
    <row r="906">
      <c r="A906" s="135"/>
      <c r="E906" s="135"/>
    </row>
    <row r="907">
      <c r="A907" s="135"/>
      <c r="E907" s="135"/>
    </row>
    <row r="908">
      <c r="A908" s="135"/>
      <c r="E908" s="135"/>
    </row>
    <row r="909">
      <c r="A909" s="135"/>
      <c r="E909" s="135"/>
    </row>
    <row r="910">
      <c r="A910" s="135"/>
      <c r="E910" s="135"/>
    </row>
    <row r="911">
      <c r="A911" s="135"/>
      <c r="E911" s="135"/>
    </row>
    <row r="912">
      <c r="A912" s="135"/>
      <c r="E912" s="135"/>
    </row>
    <row r="913">
      <c r="A913" s="135"/>
      <c r="E913" s="135"/>
    </row>
    <row r="914">
      <c r="A914" s="135"/>
      <c r="E914" s="135"/>
    </row>
    <row r="915">
      <c r="A915" s="135"/>
      <c r="E915" s="135"/>
    </row>
    <row r="916">
      <c r="A916" s="135"/>
      <c r="E916" s="135"/>
    </row>
    <row r="917">
      <c r="A917" s="135"/>
      <c r="E917" s="135"/>
    </row>
    <row r="918">
      <c r="A918" s="135"/>
      <c r="E918" s="135"/>
    </row>
    <row r="919">
      <c r="A919" s="135"/>
      <c r="E919" s="135"/>
    </row>
    <row r="920">
      <c r="A920" s="135"/>
      <c r="E920" s="135"/>
    </row>
    <row r="921">
      <c r="A921" s="135"/>
      <c r="E921" s="135"/>
    </row>
    <row r="922">
      <c r="A922" s="135"/>
      <c r="E922" s="135"/>
    </row>
    <row r="923">
      <c r="A923" s="135"/>
      <c r="E923" s="135"/>
    </row>
    <row r="924">
      <c r="A924" s="135"/>
      <c r="E924" s="135"/>
    </row>
    <row r="925">
      <c r="A925" s="135"/>
      <c r="E925" s="135"/>
    </row>
    <row r="926">
      <c r="A926" s="135"/>
      <c r="E926" s="135"/>
    </row>
    <row r="927">
      <c r="A927" s="135"/>
      <c r="E927" s="135"/>
    </row>
    <row r="928">
      <c r="A928" s="135"/>
      <c r="E928" s="135"/>
    </row>
    <row r="929">
      <c r="A929" s="135"/>
      <c r="E929" s="135"/>
    </row>
    <row r="930">
      <c r="A930" s="135"/>
      <c r="E930" s="135"/>
    </row>
    <row r="931">
      <c r="A931" s="135"/>
      <c r="E931" s="135"/>
    </row>
    <row r="932">
      <c r="A932" s="135"/>
      <c r="E932" s="135"/>
    </row>
    <row r="933">
      <c r="A933" s="135"/>
      <c r="E933" s="135"/>
    </row>
    <row r="934">
      <c r="A934" s="135"/>
      <c r="E934" s="135"/>
    </row>
    <row r="935">
      <c r="A935" s="135"/>
      <c r="E935" s="135"/>
    </row>
    <row r="936">
      <c r="A936" s="135"/>
      <c r="E936" s="135"/>
    </row>
    <row r="937">
      <c r="A937" s="135"/>
      <c r="E937" s="135"/>
    </row>
    <row r="938">
      <c r="A938" s="135"/>
      <c r="E938" s="135"/>
    </row>
    <row r="939">
      <c r="A939" s="135"/>
      <c r="E939" s="135"/>
    </row>
    <row r="940">
      <c r="A940" s="135"/>
      <c r="E940" s="135"/>
    </row>
    <row r="941">
      <c r="A941" s="135"/>
      <c r="E941" s="135"/>
    </row>
    <row r="942">
      <c r="A942" s="135"/>
      <c r="E942" s="135"/>
    </row>
    <row r="943">
      <c r="A943" s="135"/>
      <c r="E943" s="135"/>
    </row>
    <row r="944">
      <c r="A944" s="135"/>
      <c r="E944" s="135"/>
    </row>
    <row r="945">
      <c r="A945" s="135"/>
      <c r="E945" s="135"/>
    </row>
    <row r="946">
      <c r="A946" s="135"/>
      <c r="E946" s="135"/>
    </row>
    <row r="947">
      <c r="A947" s="135"/>
      <c r="E947" s="135"/>
    </row>
    <row r="948">
      <c r="A948" s="135"/>
      <c r="E948" s="135"/>
    </row>
    <row r="949">
      <c r="A949" s="135"/>
      <c r="E949" s="135"/>
    </row>
    <row r="950">
      <c r="A950" s="135"/>
      <c r="E950" s="135"/>
    </row>
    <row r="951">
      <c r="A951" s="135"/>
      <c r="E951" s="135"/>
    </row>
    <row r="952">
      <c r="A952" s="135"/>
      <c r="E952" s="135"/>
    </row>
    <row r="953">
      <c r="A953" s="135"/>
      <c r="E953" s="135"/>
    </row>
    <row r="954">
      <c r="A954" s="135"/>
      <c r="E954" s="135"/>
    </row>
    <row r="955">
      <c r="A955" s="135"/>
      <c r="E955" s="135"/>
    </row>
    <row r="956">
      <c r="A956" s="135"/>
      <c r="E956" s="135"/>
    </row>
    <row r="957">
      <c r="A957" s="135"/>
      <c r="E957" s="135"/>
    </row>
    <row r="958">
      <c r="A958" s="135"/>
      <c r="E958" s="135"/>
    </row>
    <row r="959">
      <c r="A959" s="135"/>
      <c r="E959" s="135"/>
    </row>
    <row r="960">
      <c r="A960" s="135"/>
      <c r="E960" s="135"/>
    </row>
    <row r="961">
      <c r="A961" s="135"/>
      <c r="E961" s="135"/>
    </row>
    <row r="962">
      <c r="A962" s="135"/>
      <c r="E962" s="135"/>
    </row>
    <row r="963">
      <c r="A963" s="135"/>
      <c r="E963" s="135"/>
    </row>
    <row r="964">
      <c r="A964" s="135"/>
      <c r="E964" s="135"/>
    </row>
    <row r="965">
      <c r="A965" s="135"/>
      <c r="E965" s="135"/>
    </row>
    <row r="966">
      <c r="A966" s="135"/>
      <c r="E966" s="135"/>
    </row>
    <row r="967">
      <c r="A967" s="135"/>
      <c r="E967" s="135"/>
    </row>
    <row r="968">
      <c r="A968" s="135"/>
      <c r="E968" s="135"/>
    </row>
    <row r="969">
      <c r="A969" s="135"/>
      <c r="E969" s="135"/>
    </row>
    <row r="970">
      <c r="A970" s="135"/>
      <c r="E970" s="135"/>
    </row>
    <row r="971">
      <c r="A971" s="135"/>
      <c r="E971" s="135"/>
    </row>
    <row r="972">
      <c r="A972" s="135"/>
      <c r="E972" s="135"/>
    </row>
    <row r="973">
      <c r="A973" s="135"/>
      <c r="E973" s="135"/>
    </row>
    <row r="974">
      <c r="A974" s="135"/>
      <c r="E974" s="135"/>
    </row>
    <row r="975">
      <c r="A975" s="135"/>
      <c r="E975" s="135"/>
    </row>
    <row r="976">
      <c r="A976" s="135"/>
      <c r="E976" s="135"/>
    </row>
    <row r="977">
      <c r="A977" s="135"/>
      <c r="E977" s="135"/>
    </row>
    <row r="978">
      <c r="A978" s="135"/>
      <c r="E978" s="135"/>
    </row>
    <row r="979">
      <c r="A979" s="135"/>
      <c r="E979" s="135"/>
    </row>
    <row r="980">
      <c r="A980" s="135"/>
      <c r="E980" s="135"/>
    </row>
    <row r="981">
      <c r="A981" s="135"/>
      <c r="E981" s="135"/>
    </row>
    <row r="982">
      <c r="A982" s="135"/>
      <c r="E982" s="135"/>
    </row>
    <row r="983">
      <c r="A983" s="135"/>
      <c r="E983" s="135"/>
    </row>
    <row r="984">
      <c r="A984" s="135"/>
      <c r="E984" s="135"/>
    </row>
    <row r="985">
      <c r="A985" s="135"/>
      <c r="E985" s="135"/>
    </row>
    <row r="986">
      <c r="A986" s="135"/>
      <c r="E986" s="135"/>
    </row>
    <row r="987">
      <c r="A987" s="135"/>
      <c r="E987" s="135"/>
    </row>
    <row r="988">
      <c r="A988" s="135"/>
      <c r="E988" s="135"/>
    </row>
    <row r="989">
      <c r="A989" s="135"/>
      <c r="E989" s="135"/>
    </row>
    <row r="990">
      <c r="A990" s="135"/>
      <c r="E990" s="135"/>
    </row>
    <row r="991">
      <c r="A991" s="135"/>
      <c r="E991" s="135"/>
    </row>
    <row r="992">
      <c r="A992" s="135"/>
      <c r="E992" s="135"/>
    </row>
    <row r="993">
      <c r="A993" s="135"/>
      <c r="E993" s="135"/>
    </row>
    <row r="994">
      <c r="A994" s="135"/>
      <c r="E994" s="135"/>
    </row>
    <row r="995">
      <c r="A995" s="135"/>
      <c r="E995" s="135"/>
    </row>
    <row r="996">
      <c r="A996" s="135"/>
      <c r="E996" s="135"/>
    </row>
    <row r="997">
      <c r="A997" s="135"/>
      <c r="E997" s="135"/>
    </row>
    <row r="998">
      <c r="A998" s="135"/>
      <c r="E998" s="135"/>
    </row>
    <row r="999">
      <c r="A999" s="135"/>
      <c r="E999" s="135"/>
    </row>
    <row r="1000">
      <c r="A1000" s="135"/>
      <c r="E1000" s="135"/>
    </row>
    <row r="1001">
      <c r="A1001" s="135"/>
      <c r="E1001" s="135"/>
    </row>
  </sheetData>
  <mergeCells count="6">
    <mergeCell ref="A1:E1"/>
    <mergeCell ref="I1:M1"/>
    <mergeCell ref="A2:E2"/>
    <mergeCell ref="I2:M2"/>
    <mergeCell ref="J38:M38"/>
    <mergeCell ref="J39:M39"/>
  </mergeCells>
  <hyperlinks>
    <hyperlink r:id="rId1" ref="J38"/>
    <hyperlink r:id="rId2" ref="J39"/>
  </hyperlinks>
  <drawing r:id="rId3"/>
  <tableParts count="5"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7" max="7" width="13.0"/>
  </cols>
  <sheetData>
    <row r="1">
      <c r="A1" s="71" t="s">
        <v>82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>
      <c r="A2" s="12"/>
      <c r="B2" s="168" t="s">
        <v>264</v>
      </c>
      <c r="C2" s="169" t="s">
        <v>5</v>
      </c>
      <c r="D2" s="169" t="s">
        <v>6</v>
      </c>
      <c r="E2" s="169" t="s">
        <v>7</v>
      </c>
      <c r="F2" s="170" t="s">
        <v>265</v>
      </c>
      <c r="G2" s="169" t="s">
        <v>5</v>
      </c>
      <c r="H2" s="169" t="s">
        <v>6</v>
      </c>
      <c r="I2" s="169" t="s">
        <v>7</v>
      </c>
      <c r="J2" s="168" t="s">
        <v>266</v>
      </c>
      <c r="K2" s="169" t="s">
        <v>5</v>
      </c>
      <c r="L2" s="169" t="s">
        <v>6</v>
      </c>
      <c r="M2" s="169" t="s">
        <v>7</v>
      </c>
    </row>
    <row r="3" ht="23.25" customHeight="1">
      <c r="A3" s="7"/>
      <c r="B3" s="171" t="s">
        <v>267</v>
      </c>
      <c r="C3" s="172"/>
      <c r="D3" s="172"/>
      <c r="E3" s="173"/>
      <c r="F3" s="171" t="s">
        <v>268</v>
      </c>
      <c r="G3" s="172"/>
      <c r="H3" s="172"/>
      <c r="I3" s="173"/>
      <c r="J3" s="171" t="s">
        <v>269</v>
      </c>
      <c r="K3" s="172"/>
      <c r="L3" s="172"/>
      <c r="M3" s="173"/>
    </row>
    <row r="4">
      <c r="A4" s="73" t="s">
        <v>83</v>
      </c>
      <c r="B4" s="174"/>
      <c r="C4" s="175"/>
      <c r="D4" s="175"/>
      <c r="E4" s="176"/>
      <c r="F4" s="177"/>
      <c r="G4" s="12"/>
      <c r="H4" s="12"/>
      <c r="I4" s="178"/>
      <c r="J4" s="179"/>
      <c r="K4" s="12"/>
      <c r="L4" s="12"/>
      <c r="M4" s="178"/>
    </row>
    <row r="5">
      <c r="A5" s="9" t="s">
        <v>84</v>
      </c>
      <c r="B5" s="180">
        <f>'Аэрофлот'!B13/'Аэрофлот'!B41</f>
        <v>0.6579874505</v>
      </c>
      <c r="C5" s="181">
        <f>'Аэрофлот'!C13/'Аэрофлот'!C41</f>
        <v>0.6982845907</v>
      </c>
      <c r="D5" s="182">
        <f>'Аэрофлот'!D13/'Аэрофлот'!D41</f>
        <v>0.7385130917</v>
      </c>
      <c r="E5" s="183">
        <f>'Аэрофлот'!E13/'Аэрофлот'!E41</f>
        <v>0.6202852847</v>
      </c>
      <c r="F5" s="184">
        <v>0.3063130973213084</v>
      </c>
      <c r="G5" s="181">
        <v>0.8788940092165899</v>
      </c>
      <c r="H5" s="182">
        <v>0.762240426747952</v>
      </c>
      <c r="I5" s="183">
        <v>0.6260705472492379</v>
      </c>
      <c r="J5" s="180">
        <v>0.6473504803222807</v>
      </c>
      <c r="K5" s="181">
        <v>0.7290713125645947</v>
      </c>
      <c r="L5" s="182">
        <v>0.9458567183889073</v>
      </c>
      <c r="M5" s="183">
        <v>1.0090568394753279</v>
      </c>
    </row>
    <row r="6">
      <c r="A6" s="4" t="s">
        <v>85</v>
      </c>
      <c r="B6" s="185">
        <f>('Аэрофлот'!B6+'Аэрофлот'!B7+'Аэрофлот'!B8)/'Аэрофлот'!B41</f>
        <v>0.5717546261</v>
      </c>
      <c r="C6" s="186">
        <f>('Аэрофлот'!C6+'Аэрофлот'!C7+'Аэрофлот'!C8)/'Аэрофлот'!C41</f>
        <v>0.612521461</v>
      </c>
      <c r="D6" s="186">
        <f>('Аэрофлот'!D6+'Аэрофлот'!D7+'Аэрофлот'!D8)/'Аэрофлот'!D41</f>
        <v>0.5871191152</v>
      </c>
      <c r="E6" s="187">
        <f>('Аэрофлот'!E6+'Аэрофлот'!E7+'Аэрофлот'!E8)/'Аэрофлот'!E41</f>
        <v>0.4715289746</v>
      </c>
      <c r="F6" s="188">
        <v>0.20685928381007276</v>
      </c>
      <c r="G6" s="186">
        <v>0.21720590146119045</v>
      </c>
      <c r="H6" s="186">
        <v>0.18499240728900257</v>
      </c>
      <c r="I6" s="187">
        <v>0.1714004693539481</v>
      </c>
      <c r="J6" s="189">
        <v>0.600092965602727</v>
      </c>
      <c r="K6" s="190">
        <v>0.6905359515724199</v>
      </c>
      <c r="L6" s="190">
        <v>0.899856938483548</v>
      </c>
      <c r="M6" s="191">
        <v>0.9392046637518218</v>
      </c>
    </row>
    <row r="7">
      <c r="A7" s="9" t="s">
        <v>86</v>
      </c>
      <c r="B7" s="180">
        <f>('Аэрофлот'!B6+'Аэрофлот'!B7)/'Аэрофлот'!B41</f>
        <v>0.3333807348</v>
      </c>
      <c r="C7" s="182">
        <f>('Аэрофлот'!C6+'Аэрофлот'!C7)/'Аэрофлот'!C41</f>
        <v>0.343936637</v>
      </c>
      <c r="D7" s="182">
        <f>('Аэрофлот'!D6+'Аэрофлот'!D7)/'Аэрофлот'!D41</f>
        <v>0.3448899306</v>
      </c>
      <c r="E7" s="183">
        <f>('Аэрофлот'!E6+'Аэрофлот'!E7)/'Аэрофлот'!E41</f>
        <v>0.2577487685</v>
      </c>
      <c r="F7" s="184">
        <v>0.17066899986539238</v>
      </c>
      <c r="G7" s="182">
        <v>0.2790414746543779</v>
      </c>
      <c r="H7" s="182">
        <v>0.15069537054677082</v>
      </c>
      <c r="I7" s="183">
        <v>0.11067333015366111</v>
      </c>
      <c r="J7" s="192">
        <v>0.2833901456461109</v>
      </c>
      <c r="K7" s="181">
        <v>0.3959840543333826</v>
      </c>
      <c r="L7" s="181">
        <v>0.6632551997358864</v>
      </c>
      <c r="M7" s="193">
        <v>0.6315844264001665</v>
      </c>
    </row>
    <row r="8">
      <c r="A8" s="12"/>
      <c r="B8" s="194"/>
      <c r="C8" s="195"/>
      <c r="D8" s="195"/>
      <c r="E8" s="196"/>
      <c r="F8" s="197"/>
      <c r="G8" s="195"/>
      <c r="H8" s="195"/>
      <c r="I8" s="196"/>
      <c r="J8" s="194"/>
      <c r="K8" s="195"/>
      <c r="L8" s="195"/>
      <c r="M8" s="196"/>
    </row>
    <row r="9">
      <c r="A9" s="73" t="s">
        <v>87</v>
      </c>
      <c r="B9" s="180"/>
      <c r="C9" s="182"/>
      <c r="D9" s="182"/>
      <c r="E9" s="183"/>
      <c r="F9" s="184"/>
      <c r="G9" s="182"/>
      <c r="H9" s="182"/>
      <c r="I9" s="183"/>
      <c r="J9" s="180"/>
      <c r="K9" s="182"/>
      <c r="L9" s="182"/>
      <c r="M9" s="183"/>
    </row>
    <row r="10">
      <c r="A10" s="198" t="s">
        <v>88</v>
      </c>
      <c r="B10" s="185">
        <f>abs('Аэрофлот'!B65)/(abs('Аэрофлот'!B65)+'Аэрофлот'!B52)</f>
        <v>0.09250651217</v>
      </c>
      <c r="C10" s="186">
        <f>abs('Аэрофлот'!C65)/(abs('Аэрофлот'!C65)+'Аэрофлот'!C52)</f>
        <v>0.1044250766</v>
      </c>
      <c r="D10" s="186">
        <f>abs('Аэрофлот'!D65)/(abs('Аэрофлот'!D65)+'Аэрофлот'!D52)</f>
        <v>0.07529725007</v>
      </c>
      <c r="E10" s="187">
        <f>abs('Аэрофлот'!E65)/(abs('Аэрофлот'!E65)+'Аэрофлот'!E52)</f>
        <v>0.05568596425</v>
      </c>
      <c r="F10" s="184">
        <v>0.042472640720267</v>
      </c>
      <c r="G10" s="186">
        <v>0.11314923840851474</v>
      </c>
      <c r="H10" s="186">
        <v>0.18728839018211638</v>
      </c>
      <c r="I10" s="187">
        <v>0.11081788122655332</v>
      </c>
      <c r="J10" s="189">
        <v>0.2108499804151978</v>
      </c>
      <c r="K10" s="190">
        <v>0.2576402758412782</v>
      </c>
      <c r="L10" s="190">
        <v>0.4362927868576715</v>
      </c>
      <c r="M10" s="191">
        <v>0.48681756313958763</v>
      </c>
    </row>
    <row r="11">
      <c r="A11" s="199" t="s">
        <v>89</v>
      </c>
      <c r="B11" s="200">
        <f>('Аэрофлот'!B41+'Аэрофлот'!B50)/'Аэрофлот'!B65</f>
        <v>-9.810049763</v>
      </c>
      <c r="C11" s="201">
        <f>('Аэрофлот'!C41+'Аэрофлот'!C50)/'Аэрофлот'!C65</f>
        <v>-8.576243871</v>
      </c>
      <c r="D11" s="201">
        <f>('Аэрофлот'!D41+'Аэрофлот'!D50)/'Аэрофлот'!D65</f>
        <v>-12.28069749</v>
      </c>
      <c r="E11" s="202">
        <f>('Аэрофлот'!E41+'Аэрофлот'!E50)/'Аэрофлот'!E65</f>
        <v>-16.95784653</v>
      </c>
      <c r="F11" s="203">
        <v>-22.54456852791878</v>
      </c>
      <c r="G11" s="201">
        <v>7.837885380983242</v>
      </c>
      <c r="H11" s="201">
        <v>4.339359257814193</v>
      </c>
      <c r="I11" s="202">
        <v>8.023814468674281</v>
      </c>
      <c r="J11" s="204">
        <v>3.742708526843767</v>
      </c>
      <c r="K11" s="205">
        <v>2.8813807225391255</v>
      </c>
      <c r="L11" s="205">
        <v>1.2920388099980724</v>
      </c>
      <c r="M11" s="206">
        <v>1.054157605881744</v>
      </c>
    </row>
    <row r="12">
      <c r="A12" s="198" t="s">
        <v>90</v>
      </c>
      <c r="B12" s="207">
        <f>'Аэрофлот'!B28/'Аэрофлот'!B65</f>
        <v>-8.810049763</v>
      </c>
      <c r="C12" s="208">
        <f>'Аэрофлот'!C28/'Аэрофлот'!C65</f>
        <v>-7.576243871</v>
      </c>
      <c r="D12" s="208">
        <f>'Аэрофлот'!D28/'Аэрофлот'!D65</f>
        <v>-11.28069749</v>
      </c>
      <c r="E12" s="209">
        <f>'Аэрофлот'!E28/'Аэрофлот'!E65</f>
        <v>-15.95784653</v>
      </c>
      <c r="F12" s="203">
        <v>-17.483451776649748</v>
      </c>
      <c r="G12" s="210">
        <v>8.837885380983243</v>
      </c>
      <c r="H12" s="208">
        <v>5.339359257814193</v>
      </c>
      <c r="I12" s="211">
        <v>9.023883696780892</v>
      </c>
      <c r="J12" s="212">
        <v>4.742708526843767</v>
      </c>
      <c r="K12" s="210">
        <v>3.881380722539126</v>
      </c>
      <c r="L12" s="210">
        <v>2.2920388099980724</v>
      </c>
      <c r="M12" s="213">
        <v>2.054157605881744</v>
      </c>
    </row>
    <row r="13">
      <c r="A13" s="7"/>
      <c r="B13" s="214"/>
      <c r="C13" s="215"/>
      <c r="D13" s="215"/>
      <c r="E13" s="216"/>
      <c r="F13" s="197"/>
      <c r="G13" s="215"/>
      <c r="H13" s="215"/>
      <c r="I13" s="216"/>
      <c r="J13" s="214"/>
      <c r="K13" s="215"/>
      <c r="L13" s="215"/>
      <c r="M13" s="216"/>
    </row>
    <row r="14">
      <c r="A14" s="78" t="s">
        <v>91</v>
      </c>
      <c r="B14" s="194"/>
      <c r="C14" s="195"/>
      <c r="D14" s="195"/>
      <c r="E14" s="196"/>
      <c r="F14" s="197"/>
      <c r="G14" s="195"/>
      <c r="H14" s="195"/>
      <c r="I14" s="196"/>
      <c r="J14" s="194"/>
      <c r="K14" s="195"/>
      <c r="L14" s="195"/>
      <c r="M14" s="196"/>
    </row>
    <row r="15">
      <c r="A15" s="199" t="s">
        <v>92</v>
      </c>
      <c r="B15" s="200">
        <f>('Аэрофлот'!J6)/(('Аэрофлот'!B119+'Аэрофлот'!B28)/2)</f>
        <v>0.3100062477</v>
      </c>
      <c r="C15" s="201">
        <f>('Аэрофлот'!K6)/(('Аэрофлот'!C119+'Аэрофлот'!C28)/2)</f>
        <v>0.8864446347</v>
      </c>
      <c r="D15" s="201">
        <f>('Аэрофлот'!L6)/(('Аэрофлот'!D119+'Аэрофлот'!D28)/2)</f>
        <v>1.099077749</v>
      </c>
      <c r="E15" s="202">
        <f>('Аэрофлот'!M6)/(('Аэрофлот'!E119+'Аэрофлот'!E28)/2)</f>
        <v>1.481178948</v>
      </c>
      <c r="F15" s="203">
        <v>1.0853047983343824</v>
      </c>
      <c r="G15" s="201">
        <v>0.8454539446145711</v>
      </c>
      <c r="H15" s="201">
        <v>0.9116690528357294</v>
      </c>
      <c r="I15" s="202">
        <v>0.8941868858796196</v>
      </c>
      <c r="J15" s="217" t="s">
        <v>35</v>
      </c>
      <c r="K15" s="205">
        <v>0.41047112374440625</v>
      </c>
      <c r="L15" s="205">
        <v>0.731591372335094</v>
      </c>
      <c r="M15" s="206">
        <v>0.6341145092377984</v>
      </c>
    </row>
    <row r="16">
      <c r="A16" s="198" t="s">
        <v>270</v>
      </c>
      <c r="B16" s="207">
        <f>(('Аэрофлот'!B120+'Аэрофлот'!B8)/2)*365/('Аэрофлот'!J6)</f>
        <v>98.75517072</v>
      </c>
      <c r="C16" s="208">
        <f>(('Аэрофлот'!B8+'Аэрофлот'!C8)*365/2)/('Аэрофлот'!K6)</f>
        <v>52.05707162</v>
      </c>
      <c r="D16" s="208">
        <f>(('Аэрофлот'!C8+'Аэрофлот'!D8)/2)*365/('Аэрофлот'!L6)</f>
        <v>46.34835934</v>
      </c>
      <c r="E16" s="209">
        <f>(('Аэрофлот'!D8+'Аэрофлот'!E8)/2)*365/('Аэрофлот'!M6)</f>
        <v>36.14960579</v>
      </c>
      <c r="F16" s="203">
        <v>37.873057087281616</v>
      </c>
      <c r="G16" s="208">
        <v>22.845789034813425</v>
      </c>
      <c r="H16" s="208">
        <v>23.045306306758317</v>
      </c>
      <c r="I16" s="209">
        <v>22.07827498588368</v>
      </c>
      <c r="J16" s="218" t="s">
        <v>35</v>
      </c>
      <c r="K16" s="210">
        <v>94.37535092644582</v>
      </c>
      <c r="L16" s="210">
        <v>45.703670314977735</v>
      </c>
      <c r="M16" s="213">
        <v>51.02796727672497</v>
      </c>
    </row>
    <row r="17">
      <c r="A17" s="7"/>
      <c r="B17" s="180"/>
      <c r="C17" s="182"/>
      <c r="D17" s="182"/>
      <c r="E17" s="183"/>
      <c r="F17" s="184"/>
      <c r="G17" s="182"/>
      <c r="H17" s="182"/>
      <c r="I17" s="183"/>
      <c r="J17" s="180"/>
      <c r="K17" s="182"/>
      <c r="L17" s="182"/>
      <c r="M17" s="183"/>
    </row>
    <row r="18">
      <c r="A18" s="78" t="s">
        <v>94</v>
      </c>
      <c r="B18" s="185"/>
      <c r="C18" s="186"/>
      <c r="D18" s="186"/>
      <c r="E18" s="187"/>
      <c r="F18" s="184"/>
      <c r="G18" s="186"/>
      <c r="H18" s="186"/>
      <c r="I18" s="187"/>
      <c r="J18" s="185"/>
      <c r="K18" s="186"/>
      <c r="L18" s="186"/>
      <c r="M18" s="187"/>
    </row>
    <row r="19">
      <c r="A19" s="199" t="s">
        <v>271</v>
      </c>
      <c r="B19" s="200">
        <f>'Аэрофлот'!J24*100/'Аэрофлот'!J6</f>
        <v>-40.77277932</v>
      </c>
      <c r="C19" s="201">
        <f>'Аэрофлот'!K24*100/'Аэрофлот'!K6</f>
        <v>-7.007868091</v>
      </c>
      <c r="D19" s="201">
        <f>'Аэрофлот'!L24*100/'Аэрофлот'!L6</f>
        <v>-2.290287066</v>
      </c>
      <c r="E19" s="202">
        <f>'Аэрофлот'!M24*100/'Аэрофлот'!M6</f>
        <v>6.421681052</v>
      </c>
      <c r="F19" s="203">
        <v>5.585595231721898</v>
      </c>
      <c r="G19" s="201">
        <v>34.95022930998541</v>
      </c>
      <c r="H19" s="201">
        <v>2.795644975164317</v>
      </c>
      <c r="I19" s="202">
        <v>-6.189123376623376</v>
      </c>
      <c r="J19" s="217">
        <v>-12.414612414612415</v>
      </c>
      <c r="K19" s="219">
        <v>8.974358974358974</v>
      </c>
      <c r="L19" s="219">
        <v>28.750835641295005</v>
      </c>
      <c r="M19" s="220">
        <v>15.108738806299352</v>
      </c>
    </row>
    <row r="20">
      <c r="A20" s="221" t="s">
        <v>272</v>
      </c>
      <c r="B20" s="207">
        <f>'Аэрофлот'!J24*100/(('Аэрофлот'!B119+'Аэрофлот'!B28)/2)</f>
        <v>-12.63981632</v>
      </c>
      <c r="C20" s="208">
        <f>'Аэрофлот'!K24*100/(('Аэрофлот'!B28+'Аэрофлот'!C28)/2)</f>
        <v>-3.242296253</v>
      </c>
      <c r="D20" s="208">
        <f>'Аэрофлот'!L24*100/(('Аэрофлот'!C28+'Аэрофлот'!D28)/2)</f>
        <v>-1.26118525</v>
      </c>
      <c r="E20" s="209">
        <f>'Аэрофлот'!M24*100/(('Аэрофлот'!D28+'Аэрофлот'!E28)/2)</f>
        <v>4.845634569</v>
      </c>
      <c r="F20" s="203">
        <v>6.062073306541422</v>
      </c>
      <c r="G20" s="208">
        <v>29.548809235310966</v>
      </c>
      <c r="H20" s="208">
        <v>2.548703006573019</v>
      </c>
      <c r="I20" s="209">
        <v>-5.534232958467613</v>
      </c>
      <c r="J20" s="218" t="s">
        <v>35</v>
      </c>
      <c r="K20" s="210">
        <v>3.6837152130908253</v>
      </c>
      <c r="L20" s="210">
        <v>21.033863302595744</v>
      </c>
      <c r="M20" s="213">
        <v>9.580670493358594</v>
      </c>
    </row>
    <row r="21">
      <c r="A21" s="9" t="s">
        <v>273</v>
      </c>
      <c r="B21" s="222" t="s">
        <v>35</v>
      </c>
      <c r="C21" s="223">
        <f>('Аэрофлот'!K24)*100/(('Аэрофлот'!B65+'Аэрофлот'!C65)/2)</f>
        <v>26.32704825</v>
      </c>
      <c r="D21" s="223">
        <f>('Аэрофлот'!L24)*100/(('Аэрофлот'!C65+'Аэрофлот'!D65)/2)</f>
        <v>11.43675161</v>
      </c>
      <c r="E21" s="224">
        <f>('Аэрофлот'!M24)*100/(('Аэрофлот'!D65+'Аэрофлот'!E65)/2)</f>
        <v>-64.25655909</v>
      </c>
      <c r="F21" s="225">
        <v>19.93059314209303</v>
      </c>
      <c r="G21" s="223">
        <v>913.0360789652825</v>
      </c>
      <c r="H21" s="223">
        <v>16.452108184717137</v>
      </c>
      <c r="I21" s="224">
        <v>-37.401364896566434</v>
      </c>
      <c r="J21" s="222" t="s">
        <v>35</v>
      </c>
      <c r="K21" s="226">
        <v>15.695581014729951</v>
      </c>
      <c r="L21" s="226">
        <v>57.00960008240682</v>
      </c>
      <c r="M21" s="227">
        <v>20.63337704919969</v>
      </c>
    </row>
    <row r="22" ht="15.0" customHeight="1">
      <c r="G22" s="57"/>
      <c r="H22" s="57"/>
      <c r="I22" s="57"/>
      <c r="J22" s="57"/>
      <c r="K22" s="57"/>
    </row>
    <row r="23">
      <c r="A23" s="57"/>
      <c r="B23" s="228"/>
      <c r="C23" s="228"/>
      <c r="D23" s="228"/>
      <c r="E23" s="228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229"/>
      <c r="B24" s="57"/>
      <c r="C24" s="57"/>
      <c r="D24" s="57"/>
      <c r="E24" s="57"/>
    </row>
    <row r="25">
      <c r="A25" s="60"/>
      <c r="B25" s="230"/>
      <c r="C25" s="231"/>
      <c r="D25" s="230"/>
      <c r="E25" s="230"/>
    </row>
    <row r="26">
      <c r="A26" s="60"/>
      <c r="B26" s="230"/>
      <c r="C26" s="230"/>
      <c r="D26" s="230"/>
      <c r="E26" s="230"/>
    </row>
    <row r="27">
      <c r="A27" s="60"/>
      <c r="B27" s="230"/>
      <c r="C27" s="230"/>
      <c r="D27" s="230"/>
      <c r="E27" s="230"/>
    </row>
    <row r="28">
      <c r="A28" s="57"/>
      <c r="B28" s="232"/>
      <c r="C28" s="232"/>
      <c r="D28" s="232"/>
      <c r="E28" s="232"/>
    </row>
    <row r="29">
      <c r="A29" s="229"/>
      <c r="B29" s="230"/>
      <c r="C29" s="230"/>
      <c r="D29" s="230"/>
      <c r="E29" s="230"/>
    </row>
    <row r="30">
      <c r="A30" s="233"/>
      <c r="B30" s="230"/>
      <c r="C30" s="230"/>
      <c r="D30" s="230"/>
      <c r="E30" s="230"/>
    </row>
    <row r="31">
      <c r="A31" s="233"/>
      <c r="B31" s="230"/>
      <c r="C31" s="230"/>
      <c r="D31" s="230"/>
      <c r="E31" s="230"/>
    </row>
    <row r="32">
      <c r="A32" s="233"/>
      <c r="B32" s="230"/>
      <c r="C32" s="231"/>
      <c r="D32" s="230"/>
      <c r="E32" s="234"/>
    </row>
    <row r="33">
      <c r="A33" s="57"/>
      <c r="B33" s="232"/>
      <c r="C33" s="232"/>
      <c r="D33" s="232"/>
      <c r="E33" s="232"/>
    </row>
    <row r="34">
      <c r="A34" s="235"/>
      <c r="B34" s="232"/>
      <c r="C34" s="232"/>
      <c r="D34" s="232"/>
      <c r="E34" s="232"/>
    </row>
    <row r="35">
      <c r="A35" s="233"/>
      <c r="B35" s="230"/>
      <c r="C35" s="230"/>
      <c r="D35" s="230"/>
      <c r="E35" s="230"/>
    </row>
    <row r="36">
      <c r="A36" s="233"/>
      <c r="B36" s="230"/>
      <c r="C36" s="230"/>
      <c r="D36" s="230"/>
      <c r="E36" s="230"/>
    </row>
    <row r="37">
      <c r="A37" s="57"/>
      <c r="B37" s="230"/>
      <c r="C37" s="230"/>
      <c r="D37" s="230"/>
      <c r="E37" s="230"/>
    </row>
    <row r="38">
      <c r="A38" s="235"/>
      <c r="B38" s="230"/>
      <c r="C38" s="230"/>
      <c r="D38" s="230"/>
      <c r="E38" s="230"/>
    </row>
    <row r="39">
      <c r="A39" s="233"/>
      <c r="B39" s="230"/>
      <c r="C39" s="230"/>
      <c r="D39" s="230"/>
      <c r="E39" s="230"/>
    </row>
    <row r="40">
      <c r="A40" s="236"/>
      <c r="B40" s="230"/>
      <c r="C40" s="230"/>
      <c r="D40" s="230"/>
      <c r="E40" s="230"/>
    </row>
    <row r="41">
      <c r="A41" s="60"/>
      <c r="B41" s="230"/>
      <c r="C41" s="230"/>
      <c r="D41" s="230"/>
      <c r="E41" s="230"/>
    </row>
    <row r="42">
      <c r="A42" s="57"/>
      <c r="B42" s="57"/>
      <c r="C42" s="57"/>
      <c r="D42" s="57"/>
      <c r="E42" s="57"/>
    </row>
    <row r="43">
      <c r="A43" s="57"/>
      <c r="B43" s="228"/>
    </row>
    <row r="44">
      <c r="A44" s="229"/>
      <c r="B44" s="57"/>
      <c r="C44" s="57"/>
      <c r="D44" s="57"/>
      <c r="E44" s="57"/>
    </row>
    <row r="45">
      <c r="A45" s="60"/>
      <c r="B45" s="230"/>
      <c r="C45" s="231"/>
      <c r="D45" s="230"/>
      <c r="E45" s="230"/>
    </row>
    <row r="46">
      <c r="A46" s="60"/>
      <c r="B46" s="231"/>
      <c r="C46" s="231"/>
      <c r="D46" s="231"/>
      <c r="E46" s="231"/>
    </row>
    <row r="47">
      <c r="A47" s="60"/>
      <c r="B47" s="231"/>
      <c r="C47" s="231"/>
      <c r="D47" s="231"/>
      <c r="E47" s="231"/>
    </row>
    <row r="48">
      <c r="A48" s="57"/>
      <c r="B48" s="232"/>
      <c r="C48" s="232"/>
      <c r="D48" s="232"/>
      <c r="E48" s="232"/>
    </row>
    <row r="49">
      <c r="A49" s="229"/>
      <c r="B49" s="230"/>
      <c r="C49" s="230"/>
      <c r="D49" s="230"/>
      <c r="E49" s="230"/>
    </row>
    <row r="50">
      <c r="A50" s="233"/>
      <c r="B50" s="231"/>
      <c r="C50" s="231"/>
      <c r="D50" s="231"/>
      <c r="E50" s="231"/>
    </row>
    <row r="51">
      <c r="A51" s="233"/>
      <c r="B51" s="231"/>
      <c r="C51" s="231"/>
      <c r="D51" s="231"/>
      <c r="E51" s="231"/>
    </row>
    <row r="52">
      <c r="A52" s="233"/>
      <c r="B52" s="231"/>
      <c r="C52" s="231"/>
      <c r="D52" s="231"/>
      <c r="E52" s="231"/>
    </row>
    <row r="53">
      <c r="A53" s="57"/>
      <c r="B53" s="232"/>
      <c r="C53" s="232"/>
      <c r="D53" s="232"/>
      <c r="E53" s="232"/>
    </row>
    <row r="54">
      <c r="A54" s="235"/>
      <c r="B54" s="232"/>
      <c r="C54" s="232"/>
      <c r="D54" s="232"/>
      <c r="E54" s="232"/>
    </row>
    <row r="55">
      <c r="A55" s="233"/>
      <c r="B55" s="237"/>
      <c r="C55" s="231"/>
      <c r="D55" s="231"/>
      <c r="E55" s="231"/>
    </row>
    <row r="56">
      <c r="A56" s="233"/>
      <c r="B56" s="237"/>
      <c r="C56" s="231"/>
      <c r="D56" s="231"/>
      <c r="E56" s="231"/>
    </row>
    <row r="57">
      <c r="A57" s="57"/>
      <c r="B57" s="230"/>
      <c r="C57" s="230"/>
      <c r="D57" s="230"/>
      <c r="E57" s="230"/>
    </row>
    <row r="58">
      <c r="A58" s="235"/>
      <c r="B58" s="230"/>
      <c r="C58" s="230"/>
      <c r="D58" s="230"/>
      <c r="E58" s="230"/>
    </row>
    <row r="59">
      <c r="A59" s="233"/>
      <c r="B59" s="238"/>
      <c r="C59" s="238"/>
      <c r="D59" s="238"/>
      <c r="E59" s="238"/>
    </row>
    <row r="60">
      <c r="A60" s="236"/>
      <c r="B60" s="238"/>
      <c r="C60" s="239"/>
      <c r="D60" s="239"/>
      <c r="E60" s="239"/>
    </row>
    <row r="61">
      <c r="A61" s="60"/>
      <c r="B61" s="238"/>
      <c r="C61" s="239"/>
      <c r="D61" s="239"/>
      <c r="E61" s="239"/>
    </row>
  </sheetData>
  <mergeCells count="4">
    <mergeCell ref="B3:E3"/>
    <mergeCell ref="F3:I3"/>
    <mergeCell ref="J3:M3"/>
    <mergeCell ref="B43:E43"/>
  </mergeCells>
  <conditionalFormatting sqref="B5:M5">
    <cfRule type="colorScale" priority="1">
      <colorScale>
        <cfvo type="min"/>
        <cfvo type="max"/>
        <color rgb="FFFFFFFF"/>
        <color rgb="FF57BB8A"/>
      </colorScale>
    </cfRule>
  </conditionalFormatting>
  <conditionalFormatting sqref="B7:M7">
    <cfRule type="colorScale" priority="2">
      <colorScale>
        <cfvo type="min"/>
        <cfvo type="max"/>
        <color rgb="FFFFFFFF"/>
        <color rgb="FF57BB8A"/>
      </colorScale>
    </cfRule>
  </conditionalFormatting>
  <conditionalFormatting sqref="B6:M6">
    <cfRule type="colorScale" priority="3">
      <colorScale>
        <cfvo type="min"/>
        <cfvo type="max"/>
        <color rgb="FFFFFFFF"/>
        <color rgb="FF57BB8A"/>
      </colorScale>
    </cfRule>
  </conditionalFormatting>
  <conditionalFormatting sqref="B10:M10">
    <cfRule type="colorScale" priority="4">
      <colorScale>
        <cfvo type="min"/>
        <cfvo type="max"/>
        <color rgb="FFFFFFFF"/>
        <color rgb="FF57BB8A"/>
      </colorScale>
    </cfRule>
  </conditionalFormatting>
  <conditionalFormatting sqref="B11:M11">
    <cfRule type="colorScale" priority="5">
      <colorScale>
        <cfvo type="min"/>
        <cfvo type="max"/>
        <color rgb="FFFFFFFF"/>
        <color rgb="FF57BB8A"/>
      </colorScale>
    </cfRule>
  </conditionalFormatting>
  <conditionalFormatting sqref="B12:M12">
    <cfRule type="colorScale" priority="6">
      <colorScale>
        <cfvo type="min"/>
        <cfvo type="max"/>
        <color rgb="FFFFFFFF"/>
        <color rgb="FF57BB8A"/>
      </colorScale>
    </cfRule>
  </conditionalFormatting>
  <conditionalFormatting sqref="B15:M15">
    <cfRule type="colorScale" priority="7">
      <colorScale>
        <cfvo type="min"/>
        <cfvo type="max"/>
        <color rgb="FFFFFFFF"/>
        <color rgb="FF57BB8A"/>
      </colorScale>
    </cfRule>
  </conditionalFormatting>
  <conditionalFormatting sqref="B16:M16">
    <cfRule type="colorScale" priority="8">
      <colorScale>
        <cfvo type="min"/>
        <cfvo type="max"/>
        <color rgb="FFFFFFFF"/>
        <color rgb="FF57BB8A"/>
      </colorScale>
    </cfRule>
  </conditionalFormatting>
  <conditionalFormatting sqref="B19:M19">
    <cfRule type="colorScale" priority="9">
      <colorScale>
        <cfvo type="min"/>
        <cfvo type="max"/>
        <color rgb="FFFFFFFF"/>
        <color rgb="FF57BB8A"/>
      </colorScale>
    </cfRule>
  </conditionalFormatting>
  <conditionalFormatting sqref="B20:M20">
    <cfRule type="colorScale" priority="10">
      <colorScale>
        <cfvo type="min"/>
        <cfvo type="max"/>
        <color rgb="FFFFFFFF"/>
        <color rgb="FF57BB8A"/>
      </colorScale>
    </cfRule>
  </conditionalFormatting>
  <conditionalFormatting sqref="B21:M21">
    <cfRule type="colorScale" priority="11">
      <colorScale>
        <cfvo type="min"/>
        <cfvo type="max"/>
        <color rgb="FFFFFFFF"/>
        <color rgb="FF57BB8A"/>
      </colorScale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6" max="6" width="14.5"/>
    <col customWidth="1" min="9" max="9" width="15.38"/>
    <col customWidth="1" min="12" max="12" width="16.75"/>
    <col customWidth="1" min="15" max="15" width="15.5"/>
    <col customWidth="1" min="22" max="22" width="30.5"/>
    <col customWidth="1" min="23" max="23" width="20.38"/>
    <col customWidth="1" min="24" max="24" width="17.25"/>
    <col customWidth="1" min="25" max="25" width="19.38"/>
  </cols>
  <sheetData>
    <row r="1">
      <c r="A1" s="240" t="s">
        <v>274</v>
      </c>
      <c r="F1" s="241" t="s">
        <v>275</v>
      </c>
    </row>
    <row r="2">
      <c r="F2" s="242" t="s">
        <v>276</v>
      </c>
      <c r="G2" s="243" t="s">
        <v>277</v>
      </c>
      <c r="I2" s="244" t="s">
        <v>276</v>
      </c>
      <c r="J2" s="245" t="s">
        <v>277</v>
      </c>
      <c r="L2" s="244" t="s">
        <v>276</v>
      </c>
      <c r="M2" s="245" t="s">
        <v>277</v>
      </c>
      <c r="O2" s="246"/>
      <c r="P2" s="246"/>
      <c r="Q2" s="246"/>
    </row>
    <row r="3">
      <c r="A3" s="2" t="s">
        <v>278</v>
      </c>
      <c r="G3" s="247" t="s">
        <v>279</v>
      </c>
      <c r="H3" s="247" t="s">
        <v>280</v>
      </c>
      <c r="J3" s="248" t="s">
        <v>279</v>
      </c>
      <c r="K3" s="248" t="s">
        <v>280</v>
      </c>
      <c r="M3" s="248" t="s">
        <v>279</v>
      </c>
      <c r="N3" s="248" t="s">
        <v>280</v>
      </c>
      <c r="O3" s="249"/>
      <c r="P3" s="249"/>
      <c r="Q3" s="249"/>
    </row>
    <row r="4">
      <c r="A4" s="3"/>
      <c r="B4" s="4" t="s">
        <v>4</v>
      </c>
      <c r="C4" s="4" t="s">
        <v>5</v>
      </c>
      <c r="D4" s="4" t="s">
        <v>6</v>
      </c>
      <c r="E4" s="4" t="s">
        <v>7</v>
      </c>
      <c r="F4" s="250" t="s">
        <v>5</v>
      </c>
      <c r="I4" s="250" t="s">
        <v>6</v>
      </c>
      <c r="L4" s="250" t="s">
        <v>7</v>
      </c>
      <c r="O4" s="251" t="s">
        <v>276</v>
      </c>
      <c r="P4" s="251" t="s">
        <v>281</v>
      </c>
      <c r="Q4" s="251" t="s">
        <v>282</v>
      </c>
    </row>
    <row r="5">
      <c r="A5" s="6" t="s">
        <v>8</v>
      </c>
      <c r="B5" s="7"/>
      <c r="C5" s="7"/>
      <c r="D5" s="7"/>
      <c r="E5" s="7"/>
    </row>
    <row r="6">
      <c r="A6" s="3" t="s">
        <v>10</v>
      </c>
      <c r="B6" s="12"/>
      <c r="C6" s="12"/>
      <c r="D6" s="12"/>
      <c r="E6" s="12"/>
    </row>
    <row r="7">
      <c r="A7" s="9" t="s">
        <v>12</v>
      </c>
      <c r="B7" s="9">
        <v>88944.0</v>
      </c>
      <c r="C7" s="9">
        <v>74180.0</v>
      </c>
      <c r="D7" s="14">
        <v>83117.0</v>
      </c>
      <c r="E7" s="9">
        <v>67814.0</v>
      </c>
      <c r="F7" s="252">
        <f t="shared" ref="F7:F9" si="1">(C7-B7)</f>
        <v>-14764</v>
      </c>
      <c r="G7" s="253">
        <f t="shared" ref="G7:G9" si="2">(C7/B7)</f>
        <v>0.8340079151</v>
      </c>
      <c r="H7" s="254">
        <f t="shared" ref="H7:H9" si="3">(C7-B7)/B7</f>
        <v>-0.1659920849</v>
      </c>
      <c r="I7" s="252">
        <f t="shared" ref="I7:I9" si="4">(D7-B7)</f>
        <v>-5827</v>
      </c>
      <c r="J7" s="253">
        <f t="shared" ref="J7:J9" si="5">(D7/B7)</f>
        <v>0.9344868681</v>
      </c>
      <c r="K7" s="254">
        <f t="shared" ref="K7:K9" si="6">(D7-B7)/B7</f>
        <v>-0.06551313186</v>
      </c>
      <c r="L7" s="252">
        <f t="shared" ref="L7:L9" si="7">(E7-B7)</f>
        <v>-21130</v>
      </c>
      <c r="M7" s="253">
        <f t="shared" ref="M7:M9" si="8">(E7/B7)</f>
        <v>0.7624347904</v>
      </c>
      <c r="N7" s="254">
        <f t="shared" ref="N7:N9" si="9">(E7-B7)/B7</f>
        <v>-0.2375652096</v>
      </c>
      <c r="O7" s="252" t="str">
        <f>IFERROR(__xludf.DUMMYFUNCTION("SPARKLINE({F7; I7; L7},{""charttype"",""line"";""color"",""green""})
"),"")</f>
        <v/>
      </c>
      <c r="P7" s="252" t="str">
        <f>IFERROR(__xludf.DUMMYFUNCTION("SPARKLINE({G7; J7; M7},{""charttype"",""column"";""color"",""green""})"),"")</f>
        <v/>
      </c>
      <c r="Q7" s="252" t="str">
        <f>IFERROR(__xludf.DUMMYFUNCTION("SPARKLINE({H7;K7;N7},{""charttype"",""line"";""color"",""black""})"),"")</f>
        <v/>
      </c>
    </row>
    <row r="8">
      <c r="A8" s="4" t="s">
        <v>15</v>
      </c>
      <c r="B8" s="4">
        <v>67051.0</v>
      </c>
      <c r="C8" s="4">
        <v>73213.0</v>
      </c>
      <c r="D8" s="17">
        <v>82262.0</v>
      </c>
      <c r="E8" s="4">
        <v>87450.0</v>
      </c>
      <c r="F8" s="252">
        <f t="shared" si="1"/>
        <v>6162</v>
      </c>
      <c r="G8" s="253">
        <f t="shared" si="2"/>
        <v>1.091900195</v>
      </c>
      <c r="H8" s="254">
        <f t="shared" si="3"/>
        <v>0.09190019537</v>
      </c>
      <c r="I8" s="252">
        <f t="shared" si="4"/>
        <v>15211</v>
      </c>
      <c r="J8" s="253">
        <f t="shared" si="5"/>
        <v>1.226857168</v>
      </c>
      <c r="K8" s="254">
        <f t="shared" si="6"/>
        <v>0.2268571684</v>
      </c>
      <c r="L8" s="252">
        <f t="shared" si="7"/>
        <v>20399</v>
      </c>
      <c r="M8" s="253">
        <f t="shared" si="8"/>
        <v>1.304231108</v>
      </c>
      <c r="N8" s="254">
        <f t="shared" si="9"/>
        <v>0.3042311077</v>
      </c>
      <c r="O8" s="252" t="str">
        <f>IFERROR(__xludf.DUMMYFUNCTION("SPARKLINE({F8; I8; L8},{""charttype"",""line"";""color"",""green""})
"),"")</f>
        <v/>
      </c>
      <c r="P8" s="252" t="str">
        <f>IFERROR(__xludf.DUMMYFUNCTION("SPARKLINE({G8; J8; M8},{""charttype"",""column"";""color"",""green""})"),"")</f>
        <v/>
      </c>
      <c r="Q8" s="252" t="str">
        <f>IFERROR(__xludf.DUMMYFUNCTION("SPARKLINE({H8;K8;N8},{""charttype"",""line"";""color"",""black""})"),"")</f>
        <v/>
      </c>
    </row>
    <row r="9">
      <c r="A9" s="6" t="s">
        <v>25</v>
      </c>
      <c r="B9" s="9">
        <v>185082.0</v>
      </c>
      <c r="C9" s="9">
        <v>190344.0</v>
      </c>
      <c r="D9" s="14">
        <v>250802.0</v>
      </c>
      <c r="E9" s="9">
        <v>253737.0</v>
      </c>
      <c r="F9" s="252">
        <f t="shared" si="1"/>
        <v>5262</v>
      </c>
      <c r="G9" s="253">
        <f t="shared" si="2"/>
        <v>1.028430642</v>
      </c>
      <c r="H9" s="254">
        <f t="shared" si="3"/>
        <v>0.02843064155</v>
      </c>
      <c r="I9" s="252">
        <f t="shared" si="4"/>
        <v>65720</v>
      </c>
      <c r="J9" s="253">
        <f t="shared" si="5"/>
        <v>1.355085854</v>
      </c>
      <c r="K9" s="254">
        <f t="shared" si="6"/>
        <v>0.3550858538</v>
      </c>
      <c r="L9" s="252">
        <f t="shared" si="7"/>
        <v>68655</v>
      </c>
      <c r="M9" s="253">
        <f t="shared" si="8"/>
        <v>1.37094369</v>
      </c>
      <c r="N9" s="254">
        <f t="shared" si="9"/>
        <v>0.3709436898</v>
      </c>
      <c r="O9" s="252" t="str">
        <f>IFERROR(__xludf.DUMMYFUNCTION("SPARKLINE({F9; I9; L9},{""charttype"",""line"";""color"",""green""})
"),"")</f>
        <v/>
      </c>
      <c r="P9" s="252" t="str">
        <f>IFERROR(__xludf.DUMMYFUNCTION("SPARKLINE({G9; J9; M9},{""charttype"",""column"";""color"",""green""})"),"")</f>
        <v/>
      </c>
      <c r="Q9" s="252" t="str">
        <f>IFERROR(__xludf.DUMMYFUNCTION("SPARKLINE({H9;K9;N9},{""charttype"",""line"";""color"",""black""})"),"")</f>
        <v/>
      </c>
    </row>
    <row r="10">
      <c r="A10" s="22" t="s">
        <v>27</v>
      </c>
      <c r="B10" s="23"/>
      <c r="C10" s="23"/>
      <c r="D10" s="24"/>
      <c r="E10" s="23"/>
      <c r="F10" s="255"/>
      <c r="G10" s="256"/>
      <c r="H10" s="257"/>
      <c r="I10" s="255"/>
      <c r="J10" s="256"/>
      <c r="K10" s="257"/>
      <c r="L10" s="255"/>
      <c r="M10" s="253"/>
      <c r="N10" s="254"/>
      <c r="O10" s="252"/>
      <c r="P10" s="252"/>
      <c r="Q10" s="252"/>
    </row>
    <row r="11">
      <c r="A11" s="5" t="s">
        <v>29</v>
      </c>
      <c r="B11" s="28">
        <v>635406.0</v>
      </c>
      <c r="C11" s="28">
        <v>725421.0</v>
      </c>
      <c r="D11" s="29">
        <v>619883.0</v>
      </c>
      <c r="E11" s="28">
        <v>557557.0</v>
      </c>
      <c r="F11" s="255">
        <f t="shared" ref="F11:F17" si="10">(C11-B11)</f>
        <v>90015</v>
      </c>
      <c r="G11" s="256">
        <f t="shared" ref="G11:G17" si="11">(C11/B11)</f>
        <v>1.141665329</v>
      </c>
      <c r="H11" s="257">
        <f t="shared" ref="H11:H17" si="12">(C11-B11)/B11</f>
        <v>0.1416653289</v>
      </c>
      <c r="I11" s="255">
        <f t="shared" ref="I11:I17" si="13">(D11-B11)</f>
        <v>-15523</v>
      </c>
      <c r="J11" s="256">
        <f t="shared" ref="J11:J17" si="14">(D11/B11)</f>
        <v>0.9755699506</v>
      </c>
      <c r="K11" s="257">
        <f t="shared" ref="K11:K17" si="15">(D11-B11)/B11</f>
        <v>-0.02443004945</v>
      </c>
      <c r="L11" s="255">
        <f t="shared" ref="L11:L17" si="16">(E11-B11)</f>
        <v>-77849</v>
      </c>
      <c r="M11" s="253">
        <f t="shared" ref="M11:M17" si="17">(E11/B11)</f>
        <v>0.8774814843</v>
      </c>
      <c r="N11" s="254">
        <f t="shared" ref="N11:N17" si="18">(E11-B11)/B11</f>
        <v>-0.1225185157</v>
      </c>
      <c r="O11" s="258" t="str">
        <f>IFERROR(__xludf.DUMMYFUNCTION("SPARKLINE({F11; I11; L11},{""charttype"",""line"";""color"",""green""})
"),"")</f>
        <v/>
      </c>
      <c r="P11" s="258" t="str">
        <f>IFERROR(__xludf.DUMMYFUNCTION("SPARKLINE({G11; J11; M11},{""charttype"",""column"";""color"",""green""})"),"")</f>
        <v/>
      </c>
      <c r="Q11" s="258" t="str">
        <f>IFERROR(__xludf.DUMMYFUNCTION("SPARKLINE({H11;K11;N11},{""charttype"",""line"";""color"",""black""})"),"")</f>
        <v/>
      </c>
    </row>
    <row r="12">
      <c r="A12" s="5" t="s">
        <v>31</v>
      </c>
      <c r="B12" s="31">
        <v>19825.0</v>
      </c>
      <c r="C12" s="31">
        <v>19893.0</v>
      </c>
      <c r="D12" s="29">
        <v>104922.0</v>
      </c>
      <c r="E12" s="31">
        <v>159838.0</v>
      </c>
      <c r="F12" s="255">
        <f t="shared" si="10"/>
        <v>68</v>
      </c>
      <c r="G12" s="256">
        <f t="shared" si="11"/>
        <v>1.003430013</v>
      </c>
      <c r="H12" s="257">
        <f t="shared" si="12"/>
        <v>0.00343001261</v>
      </c>
      <c r="I12" s="255">
        <f t="shared" si="13"/>
        <v>85097</v>
      </c>
      <c r="J12" s="256">
        <f t="shared" si="14"/>
        <v>5.292408575</v>
      </c>
      <c r="K12" s="257">
        <f t="shared" si="15"/>
        <v>4.292408575</v>
      </c>
      <c r="L12" s="255">
        <f t="shared" si="16"/>
        <v>140013</v>
      </c>
      <c r="M12" s="253">
        <f t="shared" si="17"/>
        <v>8.062446406</v>
      </c>
      <c r="N12" s="254">
        <f t="shared" si="18"/>
        <v>7.062446406</v>
      </c>
      <c r="O12" s="258" t="str">
        <f>IFERROR(__xludf.DUMMYFUNCTION("SPARKLINE({F12; I12; L12},{""charttype"",""line"";""color"",""green""})
"),"")</f>
        <v/>
      </c>
      <c r="P12" s="258" t="str">
        <f>IFERROR(__xludf.DUMMYFUNCTION("SPARKLINE({G12; J12; M12},{""charttype"",""column"";""color"",""green""})"),"")</f>
        <v/>
      </c>
      <c r="Q12" s="258" t="str">
        <f>IFERROR(__xludf.DUMMYFUNCTION("SPARKLINE({H12;K12;N12},{""charttype"",""line"";""color"",""black""})"),"")</f>
        <v/>
      </c>
    </row>
    <row r="13">
      <c r="A13" s="5" t="s">
        <v>38</v>
      </c>
      <c r="B13" s="30">
        <v>5464.0</v>
      </c>
      <c r="C13" s="30">
        <v>5360.0</v>
      </c>
      <c r="D13" s="29">
        <v>5335.0</v>
      </c>
      <c r="E13" s="31">
        <v>6123.0</v>
      </c>
      <c r="F13" s="255">
        <f t="shared" si="10"/>
        <v>-104</v>
      </c>
      <c r="G13" s="256">
        <f t="shared" si="11"/>
        <v>0.980966325</v>
      </c>
      <c r="H13" s="257">
        <f t="shared" si="12"/>
        <v>-0.01903367496</v>
      </c>
      <c r="I13" s="255">
        <f t="shared" si="13"/>
        <v>-129</v>
      </c>
      <c r="J13" s="256">
        <f t="shared" si="14"/>
        <v>0.9763909224</v>
      </c>
      <c r="K13" s="257">
        <f t="shared" si="15"/>
        <v>-0.0236090776</v>
      </c>
      <c r="L13" s="255">
        <f t="shared" si="16"/>
        <v>659</v>
      </c>
      <c r="M13" s="253">
        <f t="shared" si="17"/>
        <v>1.120607613</v>
      </c>
      <c r="N13" s="254">
        <f t="shared" si="18"/>
        <v>0.1206076135</v>
      </c>
      <c r="O13" s="258" t="str">
        <f>IFERROR(__xludf.DUMMYFUNCTION("SPARKLINE({F13; I13; L13},{""charttype"",""line"";""color"",""green""})
"),"")</f>
        <v/>
      </c>
      <c r="P13" s="258" t="str">
        <f>IFERROR(__xludf.DUMMYFUNCTION("SPARKLINE({G13; J13; M13},{""charttype"",""column"";""color"",""green""})"),"")</f>
        <v/>
      </c>
      <c r="Q13" s="258" t="str">
        <f>IFERROR(__xludf.DUMMYFUNCTION("SPARKLINE({H13;K13;N13},{""charttype"",""line"";""color"",""black""})"),"")</f>
        <v/>
      </c>
    </row>
    <row r="14">
      <c r="A14" s="5" t="s">
        <v>40</v>
      </c>
      <c r="B14" s="31">
        <v>2414.0</v>
      </c>
      <c r="C14" s="31">
        <v>3221.0</v>
      </c>
      <c r="D14" s="29">
        <v>7475.0</v>
      </c>
      <c r="E14" s="30">
        <v>21245.0</v>
      </c>
      <c r="F14" s="255">
        <f t="shared" si="10"/>
        <v>807</v>
      </c>
      <c r="G14" s="256">
        <f t="shared" si="11"/>
        <v>1.334299917</v>
      </c>
      <c r="H14" s="257">
        <f t="shared" si="12"/>
        <v>0.3342999171</v>
      </c>
      <c r="I14" s="255">
        <f t="shared" si="13"/>
        <v>5061</v>
      </c>
      <c r="J14" s="256">
        <f t="shared" si="14"/>
        <v>3.096520298</v>
      </c>
      <c r="K14" s="257">
        <f t="shared" si="15"/>
        <v>2.096520298</v>
      </c>
      <c r="L14" s="255">
        <f t="shared" si="16"/>
        <v>18831</v>
      </c>
      <c r="M14" s="253">
        <f t="shared" si="17"/>
        <v>8.80074565</v>
      </c>
      <c r="N14" s="254">
        <f t="shared" si="18"/>
        <v>7.80074565</v>
      </c>
      <c r="O14" s="258" t="str">
        <f>IFERROR(__xludf.DUMMYFUNCTION("SPARKLINE({F14; I14; L14},{""charttype"",""line"";""color"",""green""})
"),"")</f>
        <v/>
      </c>
      <c r="P14" s="258" t="str">
        <f>IFERROR(__xludf.DUMMYFUNCTION("SPARKLINE({G14; J14; M14},{""charttype"",""column"";""color"",""green""})"),"")</f>
        <v/>
      </c>
      <c r="Q14" s="258" t="str">
        <f>IFERROR(__xludf.DUMMYFUNCTION("SPARKLINE({H14;K14;N14},{""charttype"",""line"";""color"",""black""})"),"")</f>
        <v/>
      </c>
    </row>
    <row r="15">
      <c r="A15" s="5" t="s">
        <v>44</v>
      </c>
      <c r="B15" s="30">
        <v>419.0</v>
      </c>
      <c r="C15" s="30">
        <v>538.0</v>
      </c>
      <c r="D15" s="32">
        <v>518.0</v>
      </c>
      <c r="E15" s="31">
        <v>1541.0</v>
      </c>
      <c r="F15" s="255">
        <f t="shared" si="10"/>
        <v>119</v>
      </c>
      <c r="G15" s="256">
        <f t="shared" si="11"/>
        <v>1.284009547</v>
      </c>
      <c r="H15" s="257">
        <f t="shared" si="12"/>
        <v>0.2840095465</v>
      </c>
      <c r="I15" s="255">
        <f t="shared" si="13"/>
        <v>99</v>
      </c>
      <c r="J15" s="256">
        <f t="shared" si="14"/>
        <v>1.23627685</v>
      </c>
      <c r="K15" s="257">
        <f t="shared" si="15"/>
        <v>0.2362768496</v>
      </c>
      <c r="L15" s="255">
        <f t="shared" si="16"/>
        <v>1122</v>
      </c>
      <c r="M15" s="253">
        <f t="shared" si="17"/>
        <v>3.677804296</v>
      </c>
      <c r="N15" s="254">
        <f t="shared" si="18"/>
        <v>2.677804296</v>
      </c>
      <c r="O15" s="258" t="str">
        <f>IFERROR(__xludf.DUMMYFUNCTION("SPARKLINE({F15; I15; L15},{""charttype"",""line"";""color"",""green""})
"),"")</f>
        <v/>
      </c>
      <c r="P15" s="258" t="str">
        <f>IFERROR(__xludf.DUMMYFUNCTION("SPARKLINE({G15; J15; M15},{""charttype"",""column"";""color"",""green""})"),"")</f>
        <v/>
      </c>
      <c r="Q15" s="258" t="str">
        <f>IFERROR(__xludf.DUMMYFUNCTION("SPARKLINE({H15;K15;N15},{""charttype"",""line"";""color"",""black""})"),"")</f>
        <v/>
      </c>
    </row>
    <row r="16">
      <c r="A16" s="33" t="s">
        <v>48</v>
      </c>
      <c r="B16" s="41">
        <v>831122.0</v>
      </c>
      <c r="C16" s="30">
        <v>919106.0</v>
      </c>
      <c r="D16" s="29">
        <v>863212.0</v>
      </c>
      <c r="E16" s="42">
        <v>903159.0</v>
      </c>
      <c r="F16" s="255">
        <f t="shared" si="10"/>
        <v>87984</v>
      </c>
      <c r="G16" s="256">
        <f t="shared" si="11"/>
        <v>1.105861715</v>
      </c>
      <c r="H16" s="257">
        <f t="shared" si="12"/>
        <v>0.1058617146</v>
      </c>
      <c r="I16" s="255">
        <f t="shared" si="13"/>
        <v>32090</v>
      </c>
      <c r="J16" s="256">
        <f t="shared" si="14"/>
        <v>1.038610457</v>
      </c>
      <c r="K16" s="257">
        <f t="shared" si="15"/>
        <v>0.03861045671</v>
      </c>
      <c r="L16" s="255">
        <f t="shared" si="16"/>
        <v>72037</v>
      </c>
      <c r="M16" s="253">
        <f t="shared" si="17"/>
        <v>1.086674399</v>
      </c>
      <c r="N16" s="254">
        <f t="shared" si="18"/>
        <v>0.08667439919</v>
      </c>
      <c r="O16" s="258" t="str">
        <f>IFERROR(__xludf.DUMMYFUNCTION("SPARKLINE({F16; I16; L16},{""charttype"",""line"";""color"",""green""})
"),"")</f>
        <v/>
      </c>
      <c r="P16" s="258" t="str">
        <f>IFERROR(__xludf.DUMMYFUNCTION("SPARKLINE({G16; J16; M16},{""charttype"",""column"";""color"",""green""})"),"")</f>
        <v/>
      </c>
      <c r="Q16" s="258" t="str">
        <f>IFERROR(__xludf.DUMMYFUNCTION("SPARKLINE({H16;K16;N16},{""charttype"",""line"";""color"",""black""})"),"")</f>
        <v/>
      </c>
    </row>
    <row r="17" ht="19.5" customHeight="1">
      <c r="A17" s="33" t="s">
        <v>51</v>
      </c>
      <c r="B17" s="41">
        <v>1016204.0</v>
      </c>
      <c r="C17" s="46">
        <v>1109450.0</v>
      </c>
      <c r="D17" s="29">
        <v>1114014.0</v>
      </c>
      <c r="E17" s="42">
        <v>1156896.0</v>
      </c>
      <c r="F17" s="255">
        <f t="shared" si="10"/>
        <v>93246</v>
      </c>
      <c r="G17" s="256">
        <f t="shared" si="11"/>
        <v>1.091759135</v>
      </c>
      <c r="H17" s="257">
        <f t="shared" si="12"/>
        <v>0.09175913498</v>
      </c>
      <c r="I17" s="255">
        <f t="shared" si="13"/>
        <v>97810</v>
      </c>
      <c r="J17" s="256">
        <f t="shared" si="14"/>
        <v>1.096250359</v>
      </c>
      <c r="K17" s="257">
        <f t="shared" si="15"/>
        <v>0.09625035918</v>
      </c>
      <c r="L17" s="255">
        <f t="shared" si="16"/>
        <v>140692</v>
      </c>
      <c r="M17" s="253">
        <f t="shared" si="17"/>
        <v>1.138448579</v>
      </c>
      <c r="N17" s="254">
        <f t="shared" si="18"/>
        <v>0.1384485792</v>
      </c>
      <c r="O17" s="258" t="str">
        <f>IFERROR(__xludf.DUMMYFUNCTION("SPARKLINE({F17; I17; L17},{""charttype"",""line"";""color"",""green""})
"),"")</f>
        <v/>
      </c>
      <c r="P17" s="258" t="str">
        <f>IFERROR(__xludf.DUMMYFUNCTION("SPARKLINE({G17; J17; M17},{""charttype"",""column"";""color"",""green""})"),"")</f>
        <v/>
      </c>
      <c r="Q17" s="258" t="str">
        <f>IFERROR(__xludf.DUMMYFUNCTION("SPARKLINE({H17;K17;N17},{""charttype"",""line"";""color"",""black""})"),"")</f>
        <v/>
      </c>
    </row>
    <row r="18" ht="18.0" customHeight="1">
      <c r="A18" s="54" t="s">
        <v>53</v>
      </c>
      <c r="B18" s="26"/>
      <c r="C18" s="26"/>
      <c r="D18" s="24"/>
      <c r="E18" s="23"/>
      <c r="F18" s="255"/>
      <c r="G18" s="256"/>
      <c r="H18" s="257"/>
      <c r="I18" s="255"/>
      <c r="J18" s="256"/>
      <c r="K18" s="257"/>
      <c r="L18" s="255"/>
      <c r="M18" s="253"/>
      <c r="N18" s="254"/>
      <c r="O18" s="258"/>
      <c r="P18" s="258"/>
      <c r="Q18" s="258"/>
    </row>
    <row r="19">
      <c r="A19" s="33" t="s">
        <v>56</v>
      </c>
      <c r="B19" s="31"/>
      <c r="C19" s="31"/>
      <c r="D19" s="45"/>
      <c r="E19" s="5"/>
      <c r="F19" s="255"/>
      <c r="G19" s="256"/>
      <c r="H19" s="257"/>
      <c r="I19" s="255"/>
      <c r="J19" s="256"/>
      <c r="K19" s="257"/>
      <c r="L19" s="255"/>
      <c r="M19" s="253"/>
      <c r="N19" s="254"/>
      <c r="O19" s="258"/>
      <c r="P19" s="258"/>
      <c r="Q19" s="258"/>
    </row>
    <row r="20">
      <c r="A20" s="5" t="s">
        <v>62</v>
      </c>
      <c r="B20" s="30">
        <v>34924.0</v>
      </c>
      <c r="C20" s="31">
        <v>17500.0</v>
      </c>
      <c r="D20" s="29">
        <v>44178.0</v>
      </c>
      <c r="E20" s="31">
        <v>19746.0</v>
      </c>
      <c r="F20" s="255">
        <f t="shared" ref="F20:F22" si="19">(C20-B20)</f>
        <v>-17424</v>
      </c>
      <c r="G20" s="256">
        <f t="shared" ref="G20:G22" si="20">(C20/B20)</f>
        <v>0.501088077</v>
      </c>
      <c r="H20" s="257">
        <f t="shared" ref="H20:H22" si="21">(C20-B20)/B20</f>
        <v>-0.498911923</v>
      </c>
      <c r="I20" s="255">
        <f t="shared" ref="I20:I22" si="22">(D20-B20)</f>
        <v>9254</v>
      </c>
      <c r="J20" s="256">
        <f t="shared" ref="J20:J22" si="23">(D20/B20)</f>
        <v>1.264975375</v>
      </c>
      <c r="K20" s="257">
        <f t="shared" ref="K20:K22" si="24">(D20-B20)/B20</f>
        <v>0.2649753751</v>
      </c>
      <c r="L20" s="255">
        <f t="shared" ref="L20:L22" si="25">(E20-B20)</f>
        <v>-15178</v>
      </c>
      <c r="M20" s="253">
        <f t="shared" ref="M20:M22" si="26">(E20/B20)</f>
        <v>0.5653991524</v>
      </c>
      <c r="N20" s="254">
        <f t="shared" ref="N20:N22" si="27">(E20-B20)/B20</f>
        <v>-0.4346008476</v>
      </c>
      <c r="O20" s="258" t="str">
        <f>IFERROR(__xludf.DUMMYFUNCTION("SPARKLINE({F20; I20; L20},{""charttype"",""line"";""color"",""green""})
"),"")</f>
        <v/>
      </c>
      <c r="P20" s="258" t="str">
        <f>IFERROR(__xludf.DUMMYFUNCTION("SPARKLINE({G20; J20; M20},{""charttype"",""column"";""color"",""green""})"),"")</f>
        <v/>
      </c>
      <c r="Q20" s="258" t="str">
        <f>IFERROR(__xludf.DUMMYFUNCTION("SPARKLINE({H20;K20;N20},{""charttype"",""line"";""color"",""black""})"),"")</f>
        <v/>
      </c>
    </row>
    <row r="21">
      <c r="A21" s="5" t="s">
        <v>63</v>
      </c>
      <c r="B21" s="31">
        <v>4.0</v>
      </c>
      <c r="C21" s="30">
        <v>141.0</v>
      </c>
      <c r="D21" s="32">
        <v>905.0</v>
      </c>
      <c r="E21" s="30">
        <v>754.0</v>
      </c>
      <c r="F21" s="255">
        <f t="shared" si="19"/>
        <v>137</v>
      </c>
      <c r="G21" s="256">
        <f t="shared" si="20"/>
        <v>35.25</v>
      </c>
      <c r="H21" s="257">
        <f t="shared" si="21"/>
        <v>34.25</v>
      </c>
      <c r="I21" s="255">
        <f t="shared" si="22"/>
        <v>901</v>
      </c>
      <c r="J21" s="256">
        <f t="shared" si="23"/>
        <v>226.25</v>
      </c>
      <c r="K21" s="257">
        <f t="shared" si="24"/>
        <v>225.25</v>
      </c>
      <c r="L21" s="255">
        <f t="shared" si="25"/>
        <v>750</v>
      </c>
      <c r="M21" s="253">
        <f t="shared" si="26"/>
        <v>188.5</v>
      </c>
      <c r="N21" s="254">
        <f t="shared" si="27"/>
        <v>187.5</v>
      </c>
      <c r="O21" s="258" t="str">
        <f>IFERROR(__xludf.DUMMYFUNCTION("SPARKLINE({F21; I21; L21},{""charttype"",""line"";""color"",""green""})
"),"")</f>
        <v/>
      </c>
      <c r="P21" s="258" t="str">
        <f>IFERROR(__xludf.DUMMYFUNCTION("SPARKLINE({G21; J21; M21},{""charttype"",""column"";""color"",""green""})"),"")</f>
        <v/>
      </c>
      <c r="Q21" s="258" t="str">
        <f>IFERROR(__xludf.DUMMYFUNCTION("SPARKLINE({H21;K21;N21},{""charttype"",""line"";""color"",""black""})"),"")</f>
        <v/>
      </c>
    </row>
    <row r="22">
      <c r="A22" s="33" t="s">
        <v>64</v>
      </c>
      <c r="B22" s="30">
        <v>281285.0</v>
      </c>
      <c r="C22" s="31">
        <v>272588.0</v>
      </c>
      <c r="D22" s="29">
        <v>339604.0</v>
      </c>
      <c r="E22" s="31">
        <v>409065.0</v>
      </c>
      <c r="F22" s="255">
        <f t="shared" si="19"/>
        <v>-8697</v>
      </c>
      <c r="G22" s="256">
        <f t="shared" si="20"/>
        <v>0.969081181</v>
      </c>
      <c r="H22" s="257">
        <f t="shared" si="21"/>
        <v>-0.03091881899</v>
      </c>
      <c r="I22" s="255">
        <f t="shared" si="22"/>
        <v>58319</v>
      </c>
      <c r="J22" s="256">
        <f t="shared" si="23"/>
        <v>1.207330643</v>
      </c>
      <c r="K22" s="257">
        <f t="shared" si="24"/>
        <v>0.2073306433</v>
      </c>
      <c r="L22" s="255">
        <f t="shared" si="25"/>
        <v>127780</v>
      </c>
      <c r="M22" s="253">
        <f t="shared" si="26"/>
        <v>1.454272357</v>
      </c>
      <c r="N22" s="254">
        <f t="shared" si="27"/>
        <v>0.4542723572</v>
      </c>
      <c r="O22" s="258" t="str">
        <f>IFERROR(__xludf.DUMMYFUNCTION("SPARKLINE({F22; I22; L22},{""charttype"",""line"";""color"",""green""})
"),"")</f>
        <v/>
      </c>
      <c r="P22" s="258" t="str">
        <f>IFERROR(__xludf.DUMMYFUNCTION("SPARKLINE({G22; J22; M22},{""charttype"",""column"";""color"",""green""})"),"")</f>
        <v/>
      </c>
      <c r="Q22" s="258" t="str">
        <f>IFERROR(__xludf.DUMMYFUNCTION("SPARKLINE({H22;K22;N22},{""charttype"",""line"";""color"",""black""})"),"")</f>
        <v/>
      </c>
    </row>
    <row r="23">
      <c r="A23" s="33" t="s">
        <v>65</v>
      </c>
      <c r="B23" s="30"/>
      <c r="C23" s="31"/>
      <c r="D23" s="45"/>
      <c r="E23" s="31"/>
      <c r="F23" s="255"/>
      <c r="G23" s="256"/>
      <c r="H23" s="257"/>
      <c r="I23" s="255"/>
      <c r="J23" s="256"/>
      <c r="K23" s="257"/>
      <c r="L23" s="255"/>
      <c r="M23" s="253"/>
      <c r="N23" s="254"/>
      <c r="O23" s="258"/>
      <c r="P23" s="259"/>
      <c r="Q23" s="258"/>
    </row>
    <row r="24" ht="16.5" customHeight="1">
      <c r="A24" s="5" t="s">
        <v>66</v>
      </c>
      <c r="B24" s="30">
        <v>53711.0</v>
      </c>
      <c r="C24" s="30">
        <v>114768.0</v>
      </c>
      <c r="D24" s="29">
        <v>60190.0</v>
      </c>
      <c r="E24" s="41">
        <v>40722.0</v>
      </c>
      <c r="F24" s="255">
        <f t="shared" ref="F24:F27" si="28">(C24-B24)</f>
        <v>61057</v>
      </c>
      <c r="G24" s="256">
        <f t="shared" ref="G24:G27" si="29">(C24/B24)</f>
        <v>2.136769004</v>
      </c>
      <c r="H24" s="257">
        <f t="shared" ref="H24:H27" si="30">(C24-B24)/B24</f>
        <v>1.136769004</v>
      </c>
      <c r="I24" s="255">
        <f t="shared" ref="I24:I27" si="31">(D24-B24)</f>
        <v>6479</v>
      </c>
      <c r="J24" s="256">
        <f t="shared" ref="J24:J27" si="32">(D24/B24)</f>
        <v>1.12062706</v>
      </c>
      <c r="K24" s="257">
        <f t="shared" ref="K24:K27" si="33">(D24-B24)/B24</f>
        <v>0.1206270596</v>
      </c>
      <c r="L24" s="255">
        <f t="shared" ref="L24:L27" si="34">(E24-B24)</f>
        <v>-12989</v>
      </c>
      <c r="M24" s="253">
        <f t="shared" ref="M24:M27" si="35">(E24/B24)</f>
        <v>0.7581687178</v>
      </c>
      <c r="N24" s="254">
        <f t="shared" ref="N24:N27" si="36">(E24-B24)/B24</f>
        <v>-0.2418312822</v>
      </c>
      <c r="O24" s="258" t="str">
        <f>IFERROR(__xludf.DUMMYFUNCTION("SPARKLINE({F24; I24; L24},{""charttype"",""line"";""color"",""green""})
"),"")</f>
        <v/>
      </c>
      <c r="P24" s="258" t="str">
        <f>IFERROR(__xludf.DUMMYFUNCTION("SPARKLINE({G24; J24; M24},{""charttype"",""column"";""color"",""green""})"),"")</f>
        <v/>
      </c>
      <c r="Q24" s="258" t="str">
        <f>IFERROR(__xludf.DUMMYFUNCTION("SPARKLINE({H24;K24;N24},{""charttype"",""line"";""color"",""black""})"),"")</f>
        <v/>
      </c>
    </row>
    <row r="25" ht="16.5" customHeight="1">
      <c r="A25" s="5" t="s">
        <v>68</v>
      </c>
      <c r="B25" s="31">
        <v>20666.0</v>
      </c>
      <c r="C25" s="35">
        <v>15552.0</v>
      </c>
      <c r="D25" s="29">
        <v>9913.0</v>
      </c>
      <c r="E25" s="31">
        <v>4982.0</v>
      </c>
      <c r="F25" s="255">
        <f t="shared" si="28"/>
        <v>-5114</v>
      </c>
      <c r="G25" s="256">
        <f t="shared" si="29"/>
        <v>0.7525404045</v>
      </c>
      <c r="H25" s="257">
        <f t="shared" si="30"/>
        <v>-0.2474595955</v>
      </c>
      <c r="I25" s="255">
        <f t="shared" si="31"/>
        <v>-10753</v>
      </c>
      <c r="J25" s="256">
        <f t="shared" si="32"/>
        <v>0.4796767638</v>
      </c>
      <c r="K25" s="257">
        <f t="shared" si="33"/>
        <v>-0.5203232362</v>
      </c>
      <c r="L25" s="255">
        <f t="shared" si="34"/>
        <v>-15684</v>
      </c>
      <c r="M25" s="253">
        <f t="shared" si="35"/>
        <v>0.2410722927</v>
      </c>
      <c r="N25" s="254">
        <f t="shared" si="36"/>
        <v>-0.7589277073</v>
      </c>
      <c r="O25" s="258" t="str">
        <f>IFERROR(__xludf.DUMMYFUNCTION("SPARKLINE({F25; I25; L25},{""charttype"",""line"";""color"",""green""})
"),"")</f>
        <v/>
      </c>
      <c r="P25" s="258" t="str">
        <f>IFERROR(__xludf.DUMMYFUNCTION("SPARKLINE({G25; J25; M25},{""charttype"",""column"";""color"",""green""})"),"")</f>
        <v/>
      </c>
      <c r="Q25" s="258" t="str">
        <f>IFERROR(__xludf.DUMMYFUNCTION("SPARKLINE({H25;K25;N25},{""charttype"",""line"";""color"",""black""})"),"")</f>
        <v/>
      </c>
      <c r="U25" s="168" t="s">
        <v>283</v>
      </c>
    </row>
    <row r="26" ht="15.0" customHeight="1">
      <c r="A26" s="33" t="s">
        <v>69</v>
      </c>
      <c r="B26" s="30">
        <v>850265.0</v>
      </c>
      <c r="C26" s="30">
        <v>983300.0</v>
      </c>
      <c r="D26" s="29">
        <v>873164.0</v>
      </c>
      <c r="E26" s="30">
        <v>820328.0</v>
      </c>
      <c r="F26" s="255">
        <f t="shared" si="28"/>
        <v>133035</v>
      </c>
      <c r="G26" s="256">
        <f t="shared" si="29"/>
        <v>1.156462985</v>
      </c>
      <c r="H26" s="257">
        <f t="shared" si="30"/>
        <v>0.1564629851</v>
      </c>
      <c r="I26" s="255">
        <f t="shared" si="31"/>
        <v>22899</v>
      </c>
      <c r="J26" s="256">
        <f t="shared" si="32"/>
        <v>1.026931604</v>
      </c>
      <c r="K26" s="257">
        <f t="shared" si="33"/>
        <v>0.02693160368</v>
      </c>
      <c r="L26" s="255">
        <f t="shared" si="34"/>
        <v>-29937</v>
      </c>
      <c r="M26" s="253">
        <f t="shared" si="35"/>
        <v>0.9647909769</v>
      </c>
      <c r="N26" s="254">
        <f t="shared" si="36"/>
        <v>-0.03520902307</v>
      </c>
      <c r="O26" s="258" t="str">
        <f>IFERROR(__xludf.DUMMYFUNCTION("SPARKLINE({F26; I26; L26},{""charttype"",""line"";""color"",""green""})
"),"")</f>
        <v/>
      </c>
      <c r="P26" s="258" t="str">
        <f>IFERROR(__xludf.DUMMYFUNCTION("SPARKLINE({G26; J26; M26},{""charttype"",""column"";""color"",""green""})"),"")</f>
        <v/>
      </c>
      <c r="Q26" s="258" t="str">
        <f>IFERROR(__xludf.DUMMYFUNCTION("SPARKLINE({H26;K26;N26},{""charttype"",""line"";""color"",""black""})"),"")</f>
        <v/>
      </c>
      <c r="U26" s="81" t="s">
        <v>284</v>
      </c>
      <c r="V26" s="81" t="s">
        <v>72</v>
      </c>
      <c r="W26" s="81" t="s">
        <v>73</v>
      </c>
      <c r="X26" s="260" t="s">
        <v>285</v>
      </c>
      <c r="Y26" s="260" t="s">
        <v>79</v>
      </c>
    </row>
    <row r="27">
      <c r="A27" s="33" t="s">
        <v>70</v>
      </c>
      <c r="B27" s="30">
        <v>1131550.0</v>
      </c>
      <c r="C27" s="30">
        <v>1255888.0</v>
      </c>
      <c r="D27" s="29">
        <v>1212768.0</v>
      </c>
      <c r="E27" s="30">
        <v>1229393.0</v>
      </c>
      <c r="F27" s="255">
        <f t="shared" si="28"/>
        <v>124338</v>
      </c>
      <c r="G27" s="256">
        <f t="shared" si="29"/>
        <v>1.109882904</v>
      </c>
      <c r="H27" s="257">
        <f t="shared" si="30"/>
        <v>0.109882904</v>
      </c>
      <c r="I27" s="255">
        <f t="shared" si="31"/>
        <v>81218</v>
      </c>
      <c r="J27" s="256">
        <f t="shared" si="32"/>
        <v>1.071775883</v>
      </c>
      <c r="K27" s="257">
        <f t="shared" si="33"/>
        <v>0.07177588264</v>
      </c>
      <c r="L27" s="255">
        <f t="shared" si="34"/>
        <v>97843</v>
      </c>
      <c r="M27" s="253">
        <f t="shared" si="35"/>
        <v>1.086468119</v>
      </c>
      <c r="N27" s="254">
        <f t="shared" si="36"/>
        <v>0.08646811895</v>
      </c>
      <c r="O27" s="258" t="str">
        <f>IFERROR(__xludf.DUMMYFUNCTION("SPARKLINE({F27; I27; L27},{""charttype"",""line"";""color"",""green""})
"),"")</f>
        <v/>
      </c>
      <c r="P27" s="258" t="str">
        <f>IFERROR(__xludf.DUMMYFUNCTION("SPARKLINE({G27; J27; M27},{""charttype"",""column"";""color"",""green""})"),"")</f>
        <v/>
      </c>
      <c r="Q27" s="258" t="str">
        <f>IFERROR(__xludf.DUMMYFUNCTION("SPARKLINE({H27;K27;N27},{""charttype"",""line"";""color"",""black""})"),"")</f>
        <v/>
      </c>
      <c r="U27" s="81" t="s">
        <v>286</v>
      </c>
      <c r="V27" s="261">
        <f>(C29/B29)</f>
        <v>1</v>
      </c>
      <c r="W27" s="261">
        <f>(C30/B30)</f>
        <v>1</v>
      </c>
      <c r="X27" s="261">
        <f>(C31/B31)</f>
        <v>1.285082022</v>
      </c>
      <c r="Y27" s="261">
        <f>(C32/B32)</f>
        <v>1.048480845</v>
      </c>
    </row>
    <row r="28">
      <c r="A28" s="33" t="s">
        <v>71</v>
      </c>
      <c r="B28" s="31"/>
      <c r="C28" s="31"/>
      <c r="D28" s="45"/>
      <c r="E28" s="42"/>
      <c r="F28" s="255"/>
      <c r="G28" s="256"/>
      <c r="H28" s="257"/>
      <c r="I28" s="255"/>
      <c r="J28" s="256"/>
      <c r="K28" s="257"/>
      <c r="L28" s="255"/>
      <c r="M28" s="253"/>
      <c r="N28" s="254"/>
      <c r="O28" s="258"/>
      <c r="P28" s="259"/>
      <c r="Q28" s="258"/>
      <c r="U28" s="81" t="s">
        <v>287</v>
      </c>
      <c r="V28" s="261">
        <f>(D29/B29)</f>
        <v>1.568510954</v>
      </c>
      <c r="W28" s="261">
        <f>(D30/B30)</f>
        <v>1.834817855</v>
      </c>
      <c r="X28" s="261">
        <f>(D31/B31)</f>
        <v>0.7937110303</v>
      </c>
      <c r="Y28" s="261">
        <f>(D32/B32)</f>
        <v>1.745178336</v>
      </c>
    </row>
    <row r="29">
      <c r="A29" s="5" t="s">
        <v>72</v>
      </c>
      <c r="B29" s="31">
        <v>2693.0</v>
      </c>
      <c r="C29" s="31">
        <v>2693.0</v>
      </c>
      <c r="D29" s="29">
        <v>4224.0</v>
      </c>
      <c r="E29" s="31">
        <v>4224.0</v>
      </c>
      <c r="F29" s="255">
        <f t="shared" ref="F29:F34" si="37">(C29-B29)</f>
        <v>0</v>
      </c>
      <c r="G29" s="256">
        <f t="shared" ref="G29:G34" si="38">(C29/B29)</f>
        <v>1</v>
      </c>
      <c r="H29" s="257">
        <f t="shared" ref="H29:H34" si="39">(C29-B29)/B29</f>
        <v>0</v>
      </c>
      <c r="I29" s="255">
        <f t="shared" ref="I29:I34" si="40">(D29-B29)</f>
        <v>1531</v>
      </c>
      <c r="J29" s="256">
        <f t="shared" ref="J29:J34" si="41">(D29/B29)</f>
        <v>1.568510954</v>
      </c>
      <c r="K29" s="257">
        <f t="shared" ref="K29:K34" si="42">(D29-B29)/B29</f>
        <v>0.5685109543</v>
      </c>
      <c r="L29" s="255">
        <f t="shared" ref="L29:L34" si="43">(E29-B29)</f>
        <v>1531</v>
      </c>
      <c r="M29" s="253">
        <f t="shared" ref="M29:M34" si="44">(E29/B29)</f>
        <v>1.568510954</v>
      </c>
      <c r="N29" s="254">
        <f t="shared" ref="N29:N34" si="45">(E29-B29)/B29</f>
        <v>0.5685109543</v>
      </c>
      <c r="O29" s="258" t="str">
        <f>IFERROR(__xludf.DUMMYFUNCTION("SPARKLINE({F29; I29; L29},{""charttype"",""line"";""color"",""green""})
"),"")</f>
        <v/>
      </c>
      <c r="P29" s="258" t="str">
        <f>IFERROR(__xludf.DUMMYFUNCTION("SPARKLINE({G29; J29; M29},{""charttype"",""column"";""color"",""green""})"),"")</f>
        <v/>
      </c>
      <c r="Q29" s="258" t="str">
        <f>IFERROR(__xludf.DUMMYFUNCTION("SPARKLINE({H29;K29;N29},{""charttype"",""line"";""color"",""black""})"),"")</f>
        <v/>
      </c>
      <c r="U29" s="81" t="s">
        <v>288</v>
      </c>
      <c r="V29" s="261">
        <f>(E29/B29)</f>
        <v>1.568510954</v>
      </c>
      <c r="W29" s="261">
        <f>(E30/B30)</f>
        <v>1.823128042</v>
      </c>
      <c r="X29" s="261">
        <f>(E31/B31)</f>
        <v>0.5169239905</v>
      </c>
      <c r="Y29" s="261">
        <f>(E32/B32)</f>
        <v>2.217305152</v>
      </c>
    </row>
    <row r="30">
      <c r="A30" s="5" t="s">
        <v>73</v>
      </c>
      <c r="B30" s="41">
        <v>78701.0</v>
      </c>
      <c r="C30" s="30">
        <v>78701.0</v>
      </c>
      <c r="D30" s="29">
        <v>144402.0</v>
      </c>
      <c r="E30" s="41">
        <v>143482.0</v>
      </c>
      <c r="F30" s="255">
        <f t="shared" si="37"/>
        <v>0</v>
      </c>
      <c r="G30" s="256">
        <f t="shared" si="38"/>
        <v>1</v>
      </c>
      <c r="H30" s="257">
        <f t="shared" si="39"/>
        <v>0</v>
      </c>
      <c r="I30" s="255">
        <f t="shared" si="40"/>
        <v>65701</v>
      </c>
      <c r="J30" s="256">
        <f t="shared" si="41"/>
        <v>1.834817855</v>
      </c>
      <c r="K30" s="257">
        <f t="shared" si="42"/>
        <v>0.8348178549</v>
      </c>
      <c r="L30" s="255">
        <f t="shared" si="43"/>
        <v>64781</v>
      </c>
      <c r="M30" s="253">
        <f t="shared" si="44"/>
        <v>1.823128042</v>
      </c>
      <c r="N30" s="254">
        <f t="shared" si="45"/>
        <v>0.8231280416</v>
      </c>
      <c r="O30" s="258" t="str">
        <f>IFERROR(__xludf.DUMMYFUNCTION("SPARKLINE({F30; I30; L30},{""charttype"",""line"";""color"",""green""})
"),"")</f>
        <v/>
      </c>
      <c r="P30" s="258" t="str">
        <f>IFERROR(__xludf.DUMMYFUNCTION("SPARKLINE({G30; J30; M30},{""charttype"",""column"";""color"",""green""})"),"")</f>
        <v/>
      </c>
      <c r="Q30" s="258" t="str">
        <f>IFERROR(__xludf.DUMMYFUNCTION("SPARKLINE({H30;K30;N30},{""charttype"",""line"";""color"",""black""})"),"")</f>
        <v/>
      </c>
    </row>
    <row r="31">
      <c r="A31" s="33" t="s">
        <v>78</v>
      </c>
      <c r="B31" s="42">
        <v>-107776.0</v>
      </c>
      <c r="C31" s="42">
        <v>-138501.0</v>
      </c>
      <c r="D31" s="29">
        <v>-85543.0</v>
      </c>
      <c r="E31" s="67">
        <v>-55712.0</v>
      </c>
      <c r="F31" s="255">
        <f t="shared" si="37"/>
        <v>-30725</v>
      </c>
      <c r="G31" s="256">
        <f t="shared" si="38"/>
        <v>1.285082022</v>
      </c>
      <c r="H31" s="257">
        <f t="shared" si="39"/>
        <v>0.285082022</v>
      </c>
      <c r="I31" s="255">
        <f t="shared" si="40"/>
        <v>22233</v>
      </c>
      <c r="J31" s="256">
        <f t="shared" si="41"/>
        <v>0.7937110303</v>
      </c>
      <c r="K31" s="257">
        <f t="shared" si="42"/>
        <v>-0.2062889697</v>
      </c>
      <c r="L31" s="255">
        <f t="shared" si="43"/>
        <v>52064</v>
      </c>
      <c r="M31" s="253">
        <f t="shared" si="44"/>
        <v>0.5169239905</v>
      </c>
      <c r="N31" s="254">
        <f t="shared" si="45"/>
        <v>-0.4830760095</v>
      </c>
      <c r="O31" s="258" t="str">
        <f>IFERROR(__xludf.DUMMYFUNCTION("SPARKLINE({F31; I31; L31},{""charttype"",""line"";""color"",""green""})
"),"")</f>
        <v/>
      </c>
      <c r="P31" s="258" t="str">
        <f>IFERROR(__xludf.DUMMYFUNCTION("SPARKLINE({G31; J31; M31},{""charttype"",""column"";""color"",""green""})"),"")</f>
        <v/>
      </c>
      <c r="Q31" s="258" t="str">
        <f>IFERROR(__xludf.DUMMYFUNCTION("SPARKLINE({H31;K31;N31},{""charttype"",""line"";""color"",""black""})"),"")</f>
        <v/>
      </c>
    </row>
    <row r="32">
      <c r="A32" s="5" t="s">
        <v>79</v>
      </c>
      <c r="B32" s="41">
        <v>-7570.0</v>
      </c>
      <c r="C32" s="41">
        <v>-7937.0</v>
      </c>
      <c r="D32" s="29">
        <v>-13211.0</v>
      </c>
      <c r="E32" s="35">
        <v>-16785.0</v>
      </c>
      <c r="F32" s="255">
        <f t="shared" si="37"/>
        <v>-367</v>
      </c>
      <c r="G32" s="256">
        <f t="shared" si="38"/>
        <v>1.048480845</v>
      </c>
      <c r="H32" s="257">
        <f t="shared" si="39"/>
        <v>0.04848084544</v>
      </c>
      <c r="I32" s="255">
        <f t="shared" si="40"/>
        <v>-5641</v>
      </c>
      <c r="J32" s="256">
        <f t="shared" si="41"/>
        <v>1.745178336</v>
      </c>
      <c r="K32" s="257">
        <f t="shared" si="42"/>
        <v>0.7451783355</v>
      </c>
      <c r="L32" s="255">
        <f t="shared" si="43"/>
        <v>-9215</v>
      </c>
      <c r="M32" s="253">
        <f t="shared" si="44"/>
        <v>2.217305152</v>
      </c>
      <c r="N32" s="254">
        <f t="shared" si="45"/>
        <v>1.217305152</v>
      </c>
      <c r="O32" s="258" t="str">
        <f>IFERROR(__xludf.DUMMYFUNCTION("SPARKLINE({F32; I32; L32},{""charttype"",""line"";""color"",""green""})
"),"")</f>
        <v/>
      </c>
      <c r="P32" s="258" t="str">
        <f>IFERROR(__xludf.DUMMYFUNCTION("SPARKLINE({G32; J32; M32},{""charttype"",""column"";""color"",""green""})"),"")</f>
        <v/>
      </c>
      <c r="Q32" s="258" t="str">
        <f>IFERROR(__xludf.DUMMYFUNCTION("SPARKLINE({H32;K32;N32},{""charttype"",""line"";""color"",""black""})"),"")</f>
        <v/>
      </c>
    </row>
    <row r="33">
      <c r="A33" s="33" t="s">
        <v>80</v>
      </c>
      <c r="B33" s="42">
        <v>-115346.0</v>
      </c>
      <c r="C33" s="68">
        <v>-146438.0</v>
      </c>
      <c r="D33" s="29">
        <v>-98754.0</v>
      </c>
      <c r="E33" s="69">
        <v>-72497.0</v>
      </c>
      <c r="F33" s="255">
        <f t="shared" si="37"/>
        <v>-31092</v>
      </c>
      <c r="G33" s="256">
        <f t="shared" si="38"/>
        <v>1.269554211</v>
      </c>
      <c r="H33" s="257">
        <f t="shared" si="39"/>
        <v>0.2695542108</v>
      </c>
      <c r="I33" s="255">
        <f t="shared" si="40"/>
        <v>16592</v>
      </c>
      <c r="J33" s="256">
        <f t="shared" si="41"/>
        <v>0.8561545264</v>
      </c>
      <c r="K33" s="257">
        <f t="shared" si="42"/>
        <v>-0.1438454736</v>
      </c>
      <c r="L33" s="255">
        <f t="shared" si="43"/>
        <v>42849</v>
      </c>
      <c r="M33" s="253">
        <f t="shared" si="44"/>
        <v>0.6285176772</v>
      </c>
      <c r="N33" s="254">
        <f t="shared" si="45"/>
        <v>-0.3714823228</v>
      </c>
      <c r="O33" s="258" t="str">
        <f>IFERROR(__xludf.DUMMYFUNCTION("SPARKLINE({F33; I33; L33},{""charttype"",""line"";""color"",""green""})
"),"")</f>
        <v/>
      </c>
      <c r="P33" s="258" t="str">
        <f>IFERROR(__xludf.DUMMYFUNCTION("SPARKLINE({G33; J33; M33},{""charttype"",""column"";""color"",""green""})"),"")</f>
        <v/>
      </c>
      <c r="Q33" s="258" t="str">
        <f>IFERROR(__xludf.DUMMYFUNCTION("SPARKLINE({H33;K33;N33},{""charttype"",""line"";""color"",""black""})"),"")</f>
        <v/>
      </c>
    </row>
    <row r="34">
      <c r="A34" s="33" t="s">
        <v>81</v>
      </c>
      <c r="B34" s="42">
        <v>1016204.0</v>
      </c>
      <c r="C34" s="44">
        <v>1109450.0</v>
      </c>
      <c r="D34" s="29">
        <v>1114014.0</v>
      </c>
      <c r="E34" s="5">
        <v>1156896.0</v>
      </c>
      <c r="F34" s="255">
        <f t="shared" si="37"/>
        <v>93246</v>
      </c>
      <c r="G34" s="256">
        <f t="shared" si="38"/>
        <v>1.091759135</v>
      </c>
      <c r="H34" s="257">
        <f t="shared" si="39"/>
        <v>0.09175913498</v>
      </c>
      <c r="I34" s="255">
        <f t="shared" si="40"/>
        <v>97810</v>
      </c>
      <c r="J34" s="256">
        <f t="shared" si="41"/>
        <v>1.096250359</v>
      </c>
      <c r="K34" s="257">
        <f t="shared" si="42"/>
        <v>0.09625035918</v>
      </c>
      <c r="L34" s="255">
        <f t="shared" si="43"/>
        <v>140692</v>
      </c>
      <c r="M34" s="253">
        <f t="shared" si="44"/>
        <v>1.138448579</v>
      </c>
      <c r="N34" s="254">
        <f t="shared" si="45"/>
        <v>0.1384485792</v>
      </c>
      <c r="O34" s="258" t="str">
        <f>IFERROR(__xludf.DUMMYFUNCTION("SPARKLINE({F34; I34; L34},{""charttype"",""line"";""color"",""green""})
"),"")</f>
        <v/>
      </c>
      <c r="P34" s="258" t="str">
        <f>IFERROR(__xludf.DUMMYFUNCTION("SPARKLINE({G34; J34; M34},{""charttype"",""column"";""color"",""green""})"),"")</f>
        <v/>
      </c>
      <c r="Q34" s="258" t="str">
        <f>IFERROR(__xludf.DUMMYFUNCTION("SPARKLINE({H34;K34;N34},{""charttype"",""line"";""color"",""black""})"),"")</f>
        <v/>
      </c>
    </row>
    <row r="35">
      <c r="P35" s="262"/>
    </row>
    <row r="37">
      <c r="A37" s="240" t="s">
        <v>289</v>
      </c>
      <c r="F37" s="241" t="s">
        <v>275</v>
      </c>
      <c r="O37" s="7"/>
    </row>
    <row r="38">
      <c r="F38" s="242" t="s">
        <v>276</v>
      </c>
      <c r="G38" s="243" t="s">
        <v>277</v>
      </c>
      <c r="I38" s="244" t="s">
        <v>276</v>
      </c>
      <c r="J38" s="245" t="s">
        <v>277</v>
      </c>
      <c r="L38" s="244" t="s">
        <v>276</v>
      </c>
      <c r="M38" s="245" t="s">
        <v>277</v>
      </c>
    </row>
    <row r="39">
      <c r="A39" s="116" t="s">
        <v>278</v>
      </c>
      <c r="G39" s="247" t="s">
        <v>279</v>
      </c>
      <c r="H39" s="247" t="s">
        <v>280</v>
      </c>
      <c r="J39" s="248" t="s">
        <v>279</v>
      </c>
      <c r="K39" s="248" t="s">
        <v>280</v>
      </c>
      <c r="M39" s="248" t="s">
        <v>279</v>
      </c>
      <c r="N39" s="248" t="s">
        <v>280</v>
      </c>
    </row>
    <row r="40">
      <c r="A40" s="117"/>
      <c r="B40" s="23" t="s">
        <v>4</v>
      </c>
      <c r="C40" s="23" t="s">
        <v>5</v>
      </c>
      <c r="D40" s="23" t="s">
        <v>6</v>
      </c>
      <c r="E40" s="118" t="s">
        <v>197</v>
      </c>
      <c r="F40" s="250" t="s">
        <v>5</v>
      </c>
      <c r="I40" s="250" t="s">
        <v>6</v>
      </c>
      <c r="L40" s="250" t="s">
        <v>7</v>
      </c>
    </row>
    <row r="41">
      <c r="A41" s="119" t="s">
        <v>8</v>
      </c>
      <c r="B41" s="20"/>
      <c r="E41" s="135"/>
    </row>
    <row r="42" ht="21.75" customHeight="1">
      <c r="A42" s="119" t="s">
        <v>27</v>
      </c>
      <c r="E42" s="135"/>
    </row>
    <row r="43">
      <c r="A43" s="127" t="s">
        <v>29</v>
      </c>
      <c r="B43" s="81">
        <v>33577.0</v>
      </c>
      <c r="C43" s="81">
        <v>36306.0</v>
      </c>
      <c r="D43" s="263">
        <v>24210.0</v>
      </c>
      <c r="E43" s="127">
        <v>25161.0</v>
      </c>
      <c r="F43" s="255">
        <f t="shared" ref="F43:F48" si="46">(C43-B43)</f>
        <v>2729</v>
      </c>
      <c r="G43" s="256">
        <f t="shared" ref="G43:G48" si="47">(C43/B43)</f>
        <v>1.081275873</v>
      </c>
      <c r="H43" s="257">
        <f t="shared" ref="H43:H48" si="48">(C43-B43)/B43</f>
        <v>0.08127587337</v>
      </c>
      <c r="I43" s="255">
        <f t="shared" ref="I43:I48" si="49">(D43-B43)</f>
        <v>-9367</v>
      </c>
      <c r="J43" s="256">
        <f t="shared" ref="J43:J48" si="50">(D43/B43)</f>
        <v>0.721029276</v>
      </c>
      <c r="K43" s="257">
        <f t="shared" ref="K43:K48" si="51">(D43-B43)/B43</f>
        <v>-0.278970724</v>
      </c>
      <c r="L43" s="255">
        <f t="shared" ref="L43:L48" si="52">(E43-B43)</f>
        <v>-8416</v>
      </c>
      <c r="M43" s="253">
        <f t="shared" ref="M43:M48" si="53">(E43/B43)</f>
        <v>0.7493522352</v>
      </c>
      <c r="N43" s="254">
        <f t="shared" ref="N43:N48" si="54">(E43-B43)/B43</f>
        <v>-0.2506477648</v>
      </c>
    </row>
    <row r="44">
      <c r="A44" s="127" t="s">
        <v>31</v>
      </c>
      <c r="B44" s="81">
        <v>26627.0</v>
      </c>
      <c r="C44" s="81">
        <v>30187.0</v>
      </c>
      <c r="D44" s="263">
        <v>58662.0</v>
      </c>
      <c r="E44" s="127">
        <v>62334.0</v>
      </c>
      <c r="F44" s="255">
        <f t="shared" si="46"/>
        <v>3560</v>
      </c>
      <c r="G44" s="256">
        <f t="shared" si="47"/>
        <v>1.133698877</v>
      </c>
      <c r="H44" s="257">
        <f t="shared" si="48"/>
        <v>0.1336988771</v>
      </c>
      <c r="I44" s="255">
        <f t="shared" si="49"/>
        <v>32035</v>
      </c>
      <c r="J44" s="256">
        <f t="shared" si="50"/>
        <v>2.203102114</v>
      </c>
      <c r="K44" s="257">
        <f t="shared" si="51"/>
        <v>1.203102114</v>
      </c>
      <c r="L44" s="255">
        <f t="shared" si="52"/>
        <v>35707</v>
      </c>
      <c r="M44" s="253">
        <f t="shared" si="53"/>
        <v>2.341007248</v>
      </c>
      <c r="N44" s="254">
        <f t="shared" si="54"/>
        <v>1.341007248</v>
      </c>
    </row>
    <row r="45">
      <c r="A45" s="127" t="s">
        <v>204</v>
      </c>
      <c r="B45" s="81">
        <v>160.0</v>
      </c>
      <c r="C45" s="81">
        <v>2755.0</v>
      </c>
      <c r="D45" s="263">
        <v>8562.0</v>
      </c>
      <c r="E45" s="127">
        <v>9874.0</v>
      </c>
      <c r="F45" s="255">
        <f t="shared" si="46"/>
        <v>2595</v>
      </c>
      <c r="G45" s="256">
        <f t="shared" si="47"/>
        <v>17.21875</v>
      </c>
      <c r="H45" s="257">
        <f t="shared" si="48"/>
        <v>16.21875</v>
      </c>
      <c r="I45" s="255">
        <f t="shared" si="49"/>
        <v>8402</v>
      </c>
      <c r="J45" s="256">
        <f t="shared" si="50"/>
        <v>53.5125</v>
      </c>
      <c r="K45" s="257">
        <f t="shared" si="51"/>
        <v>52.5125</v>
      </c>
      <c r="L45" s="255">
        <f t="shared" si="52"/>
        <v>9714</v>
      </c>
      <c r="M45" s="253">
        <f t="shared" si="53"/>
        <v>61.7125</v>
      </c>
      <c r="N45" s="254">
        <f t="shared" si="54"/>
        <v>60.7125</v>
      </c>
    </row>
    <row r="46">
      <c r="A46" s="127" t="s">
        <v>40</v>
      </c>
      <c r="B46" s="81">
        <v>56.0</v>
      </c>
      <c r="C46" s="81">
        <v>83.0</v>
      </c>
      <c r="D46" s="263">
        <v>40.0</v>
      </c>
      <c r="E46" s="127">
        <v>35.0</v>
      </c>
      <c r="F46" s="255">
        <f t="shared" si="46"/>
        <v>27</v>
      </c>
      <c r="G46" s="256">
        <f t="shared" si="47"/>
        <v>1.482142857</v>
      </c>
      <c r="H46" s="257">
        <f t="shared" si="48"/>
        <v>0.4821428571</v>
      </c>
      <c r="I46" s="255">
        <f t="shared" si="49"/>
        <v>-16</v>
      </c>
      <c r="J46" s="256">
        <f t="shared" si="50"/>
        <v>0.7142857143</v>
      </c>
      <c r="K46" s="257">
        <f t="shared" si="51"/>
        <v>-0.2857142857</v>
      </c>
      <c r="L46" s="255">
        <f t="shared" si="52"/>
        <v>-21</v>
      </c>
      <c r="M46" s="253">
        <f t="shared" si="53"/>
        <v>0.625</v>
      </c>
      <c r="N46" s="254">
        <f t="shared" si="54"/>
        <v>-0.375</v>
      </c>
    </row>
    <row r="47">
      <c r="A47" s="127" t="s">
        <v>206</v>
      </c>
      <c r="B47" s="81">
        <v>486.0</v>
      </c>
      <c r="C47" s="81">
        <v>404.0</v>
      </c>
      <c r="D47" s="263">
        <v>792.0</v>
      </c>
      <c r="E47" s="127">
        <v>82.0</v>
      </c>
      <c r="F47" s="255">
        <f t="shared" si="46"/>
        <v>-82</v>
      </c>
      <c r="G47" s="256">
        <f t="shared" si="47"/>
        <v>0.8312757202</v>
      </c>
      <c r="H47" s="257">
        <f t="shared" si="48"/>
        <v>-0.1687242798</v>
      </c>
      <c r="I47" s="255">
        <f t="shared" si="49"/>
        <v>306</v>
      </c>
      <c r="J47" s="256">
        <f t="shared" si="50"/>
        <v>1.62962963</v>
      </c>
      <c r="K47" s="257">
        <f t="shared" si="51"/>
        <v>0.6296296296</v>
      </c>
      <c r="L47" s="255">
        <f t="shared" si="52"/>
        <v>-404</v>
      </c>
      <c r="M47" s="253">
        <f t="shared" si="53"/>
        <v>0.1687242798</v>
      </c>
      <c r="N47" s="254">
        <f t="shared" si="54"/>
        <v>-0.8312757202</v>
      </c>
    </row>
    <row r="48">
      <c r="A48" s="119" t="s">
        <v>48</v>
      </c>
      <c r="B48" s="81">
        <v>63350.0</v>
      </c>
      <c r="C48" s="81">
        <v>71618.0</v>
      </c>
      <c r="D48" s="263">
        <v>95156.0</v>
      </c>
      <c r="E48" s="127">
        <v>99834.0</v>
      </c>
      <c r="F48" s="264">
        <f t="shared" si="46"/>
        <v>8268</v>
      </c>
      <c r="G48" s="265">
        <f t="shared" si="47"/>
        <v>1.130513023</v>
      </c>
      <c r="H48" s="266">
        <f t="shared" si="48"/>
        <v>0.1305130229</v>
      </c>
      <c r="I48" s="264">
        <f t="shared" si="49"/>
        <v>31806</v>
      </c>
      <c r="J48" s="265">
        <f t="shared" si="50"/>
        <v>1.502067877</v>
      </c>
      <c r="K48" s="266">
        <f t="shared" si="51"/>
        <v>0.5020678769</v>
      </c>
      <c r="L48" s="264">
        <f t="shared" si="52"/>
        <v>36484</v>
      </c>
      <c r="M48" s="265">
        <f t="shared" si="53"/>
        <v>1.575911602</v>
      </c>
      <c r="N48" s="266">
        <f t="shared" si="54"/>
        <v>0.5759116022</v>
      </c>
    </row>
    <row r="49">
      <c r="A49" s="141" t="s">
        <v>10</v>
      </c>
      <c r="B49" s="7"/>
      <c r="C49" s="7"/>
      <c r="D49" s="7"/>
      <c r="E49" s="267"/>
      <c r="F49" s="47"/>
      <c r="G49" s="47"/>
      <c r="H49" s="47"/>
      <c r="I49" s="47"/>
      <c r="J49" s="47"/>
      <c r="K49" s="47"/>
      <c r="L49" s="47"/>
      <c r="M49" s="47"/>
      <c r="N49" s="47"/>
    </row>
    <row r="50">
      <c r="A50" s="148" t="s">
        <v>12</v>
      </c>
      <c r="B50" s="5">
        <v>12679.0</v>
      </c>
      <c r="C50" s="5">
        <v>7569.0</v>
      </c>
      <c r="D50" s="158">
        <v>5537.0</v>
      </c>
      <c r="E50" s="148">
        <v>5337.0</v>
      </c>
      <c r="F50" s="264">
        <f t="shared" ref="F50:F53" si="55">(C50-B50)</f>
        <v>-5110</v>
      </c>
      <c r="G50" s="265">
        <f t="shared" ref="G50:G53" si="56">(C50/B50)</f>
        <v>0.59697137</v>
      </c>
      <c r="H50" s="266">
        <f t="shared" ref="H50:H53" si="57">(C50-B50)/B50</f>
        <v>-0.40302863</v>
      </c>
      <c r="I50" s="264">
        <f t="shared" ref="I50:I53" si="58">(D50-B50)</f>
        <v>-7142</v>
      </c>
      <c r="J50" s="265">
        <f t="shared" ref="J50:J53" si="59">(D50/B50)</f>
        <v>0.4367063649</v>
      </c>
      <c r="K50" s="266">
        <f t="shared" ref="K50:K53" si="60">(D50-B50)/B50</f>
        <v>-0.5632936351</v>
      </c>
      <c r="L50" s="264">
        <f t="shared" ref="L50:L53" si="61">(E50-B50)</f>
        <v>-7342</v>
      </c>
      <c r="M50" s="265">
        <f t="shared" ref="M50:M53" si="62">(E50/B50)</f>
        <v>0.4209322502</v>
      </c>
      <c r="N50" s="266">
        <f t="shared" ref="N50:N53" si="63">(E50-B50)/B50</f>
        <v>-0.5790677498</v>
      </c>
    </row>
    <row r="51">
      <c r="A51" s="118" t="s">
        <v>210</v>
      </c>
      <c r="B51" s="23">
        <v>3675.0</v>
      </c>
      <c r="C51" s="23">
        <v>5498.0</v>
      </c>
      <c r="D51" s="268">
        <v>6694.0</v>
      </c>
      <c r="E51" s="118">
        <v>6956.0</v>
      </c>
      <c r="F51" s="264">
        <f t="shared" si="55"/>
        <v>1823</v>
      </c>
      <c r="G51" s="265">
        <f t="shared" si="56"/>
        <v>1.496054422</v>
      </c>
      <c r="H51" s="266">
        <f t="shared" si="57"/>
        <v>0.4960544218</v>
      </c>
      <c r="I51" s="264">
        <f t="shared" si="58"/>
        <v>3019</v>
      </c>
      <c r="J51" s="265">
        <f t="shared" si="59"/>
        <v>1.821496599</v>
      </c>
      <c r="K51" s="266">
        <f t="shared" si="60"/>
        <v>0.8214965986</v>
      </c>
      <c r="L51" s="264">
        <f t="shared" si="61"/>
        <v>3281</v>
      </c>
      <c r="M51" s="265">
        <f t="shared" si="62"/>
        <v>1.892789116</v>
      </c>
      <c r="N51" s="266">
        <f t="shared" si="63"/>
        <v>0.8927891156</v>
      </c>
    </row>
    <row r="52">
      <c r="A52" s="152" t="s">
        <v>25</v>
      </c>
      <c r="B52" s="5">
        <v>22756.0</v>
      </c>
      <c r="C52" s="5">
        <v>23840.0</v>
      </c>
      <c r="D52" s="158">
        <v>28007.0</v>
      </c>
      <c r="E52" s="148">
        <v>30191.0</v>
      </c>
      <c r="F52" s="264">
        <f t="shared" si="55"/>
        <v>1084</v>
      </c>
      <c r="G52" s="265">
        <f t="shared" si="56"/>
        <v>1.047635788</v>
      </c>
      <c r="H52" s="266">
        <f t="shared" si="57"/>
        <v>0.04763578836</v>
      </c>
      <c r="I52" s="264">
        <f t="shared" si="58"/>
        <v>5251</v>
      </c>
      <c r="J52" s="265">
        <f t="shared" si="59"/>
        <v>1.230752329</v>
      </c>
      <c r="K52" s="266">
        <f t="shared" si="60"/>
        <v>0.2307523291</v>
      </c>
      <c r="L52" s="264">
        <f t="shared" si="61"/>
        <v>7435</v>
      </c>
      <c r="M52" s="265">
        <f t="shared" si="62"/>
        <v>1.326727017</v>
      </c>
      <c r="N52" s="266">
        <f t="shared" si="63"/>
        <v>0.3267270171</v>
      </c>
    </row>
    <row r="53">
      <c r="A53" s="152" t="s">
        <v>233</v>
      </c>
      <c r="B53" s="5">
        <v>86106.0</v>
      </c>
      <c r="C53" s="5">
        <v>95458.0</v>
      </c>
      <c r="D53" s="158">
        <v>123163.0</v>
      </c>
      <c r="E53" s="148">
        <v>130350.0</v>
      </c>
      <c r="F53" s="264">
        <f t="shared" si="55"/>
        <v>9352</v>
      </c>
      <c r="G53" s="265">
        <f t="shared" si="56"/>
        <v>1.108610318</v>
      </c>
      <c r="H53" s="266">
        <f t="shared" si="57"/>
        <v>0.1086103175</v>
      </c>
      <c r="I53" s="264">
        <f t="shared" si="58"/>
        <v>37057</v>
      </c>
      <c r="J53" s="265">
        <f t="shared" si="59"/>
        <v>1.430364899</v>
      </c>
      <c r="K53" s="266">
        <f t="shared" si="60"/>
        <v>0.4303648991</v>
      </c>
      <c r="L53" s="264">
        <f t="shared" si="61"/>
        <v>44244</v>
      </c>
      <c r="M53" s="265">
        <f t="shared" si="62"/>
        <v>1.513831789</v>
      </c>
      <c r="N53" s="266">
        <f t="shared" si="63"/>
        <v>0.5138317887</v>
      </c>
    </row>
    <row r="54">
      <c r="A54" s="157" t="s">
        <v>235</v>
      </c>
      <c r="B54" s="44"/>
      <c r="C54" s="44"/>
      <c r="D54" s="44"/>
      <c r="E54" s="153"/>
      <c r="F54" s="47"/>
      <c r="G54" s="47"/>
      <c r="H54" s="47"/>
      <c r="I54" s="47"/>
      <c r="J54" s="47"/>
      <c r="K54" s="47"/>
      <c r="L54" s="47"/>
      <c r="M54" s="47"/>
      <c r="N54" s="47"/>
    </row>
    <row r="55">
      <c r="A55" s="158" t="s">
        <v>237</v>
      </c>
      <c r="B55" s="5">
        <v>3702.0</v>
      </c>
      <c r="C55" s="5">
        <v>7896.0</v>
      </c>
      <c r="D55" s="5">
        <v>7896.0</v>
      </c>
      <c r="E55" s="148">
        <v>7896.0</v>
      </c>
      <c r="F55" s="264">
        <f t="shared" ref="F55:F58" si="64">(C55-B55)</f>
        <v>4194</v>
      </c>
      <c r="G55" s="265">
        <f t="shared" ref="G55:G58" si="65">(C55/B55)</f>
        <v>2.132901135</v>
      </c>
      <c r="H55" s="266">
        <f t="shared" ref="H55:H58" si="66">(C55-B55)/B55</f>
        <v>1.132901135</v>
      </c>
      <c r="I55" s="264">
        <f t="shared" ref="I55:I58" si="67">(D55-B55)</f>
        <v>4194</v>
      </c>
      <c r="J55" s="265">
        <f t="shared" ref="J55:J58" si="68">(D55/B55)</f>
        <v>2.132901135</v>
      </c>
      <c r="K55" s="266">
        <f t="shared" ref="K55:K58" si="69">(D55-B55)/B55</f>
        <v>1.132901135</v>
      </c>
      <c r="L55" s="264">
        <f t="shared" ref="L55:L58" si="70">(E55-B55)</f>
        <v>4194</v>
      </c>
      <c r="M55" s="265">
        <f t="shared" ref="M55:M58" si="71">(E55/B55)</f>
        <v>2.132901135</v>
      </c>
      <c r="N55" s="266">
        <f t="shared" ref="N55:N58" si="72">(E55-B55)/B55</f>
        <v>1.132901135</v>
      </c>
    </row>
    <row r="56">
      <c r="A56" s="158" t="s">
        <v>239</v>
      </c>
      <c r="B56" s="5">
        <v>21875.0</v>
      </c>
      <c r="C56" s="5">
        <v>31311.0</v>
      </c>
      <c r="D56" s="5">
        <v>31311.0</v>
      </c>
      <c r="E56" s="148">
        <v>31311.0</v>
      </c>
      <c r="F56" s="264">
        <f t="shared" si="64"/>
        <v>9436</v>
      </c>
      <c r="G56" s="265">
        <f t="shared" si="65"/>
        <v>1.43136</v>
      </c>
      <c r="H56" s="266">
        <f t="shared" si="66"/>
        <v>0.43136</v>
      </c>
      <c r="I56" s="264">
        <f t="shared" si="67"/>
        <v>9436</v>
      </c>
      <c r="J56" s="265">
        <f t="shared" si="68"/>
        <v>1.43136</v>
      </c>
      <c r="K56" s="266">
        <f t="shared" si="69"/>
        <v>0.43136</v>
      </c>
      <c r="L56" s="264">
        <f t="shared" si="70"/>
        <v>9436</v>
      </c>
      <c r="M56" s="265">
        <f t="shared" si="71"/>
        <v>1.43136</v>
      </c>
      <c r="N56" s="266">
        <f t="shared" si="72"/>
        <v>0.43136</v>
      </c>
    </row>
    <row r="57">
      <c r="A57" s="157" t="s">
        <v>248</v>
      </c>
      <c r="B57" s="5">
        <v>-25602.0</v>
      </c>
      <c r="C57" s="5">
        <v>10154.0</v>
      </c>
      <c r="D57" s="5">
        <v>22353.0</v>
      </c>
      <c r="E57" s="148">
        <v>13851.0</v>
      </c>
      <c r="F57" s="264">
        <f t="shared" si="64"/>
        <v>35756</v>
      </c>
      <c r="G57" s="265">
        <f t="shared" si="65"/>
        <v>-0.3966096399</v>
      </c>
      <c r="H57" s="266">
        <f t="shared" si="66"/>
        <v>-1.39660964</v>
      </c>
      <c r="I57" s="264">
        <f t="shared" si="67"/>
        <v>47955</v>
      </c>
      <c r="J57" s="265">
        <f t="shared" si="68"/>
        <v>-0.8730958519</v>
      </c>
      <c r="K57" s="266">
        <f t="shared" si="69"/>
        <v>-1.873095852</v>
      </c>
      <c r="L57" s="264">
        <f t="shared" si="70"/>
        <v>39453</v>
      </c>
      <c r="M57" s="265">
        <f t="shared" si="71"/>
        <v>-0.5410124209</v>
      </c>
      <c r="N57" s="266">
        <f t="shared" si="72"/>
        <v>-1.541012421</v>
      </c>
    </row>
    <row r="58">
      <c r="A58" s="157" t="s">
        <v>250</v>
      </c>
      <c r="B58" s="5">
        <v>-4925.0</v>
      </c>
      <c r="C58" s="5">
        <v>10801.0</v>
      </c>
      <c r="D58" s="5">
        <v>23067.0</v>
      </c>
      <c r="E58" s="148">
        <v>14445.0</v>
      </c>
      <c r="F58" s="264">
        <f t="shared" si="64"/>
        <v>15726</v>
      </c>
      <c r="G58" s="265">
        <f t="shared" si="65"/>
        <v>-2.193096447</v>
      </c>
      <c r="H58" s="266">
        <f t="shared" si="66"/>
        <v>-3.193096447</v>
      </c>
      <c r="I58" s="264">
        <f t="shared" si="67"/>
        <v>27992</v>
      </c>
      <c r="J58" s="265">
        <f t="shared" si="68"/>
        <v>-4.683654822</v>
      </c>
      <c r="K58" s="266">
        <f t="shared" si="69"/>
        <v>-5.683654822</v>
      </c>
      <c r="L58" s="264">
        <f t="shared" si="70"/>
        <v>19370</v>
      </c>
      <c r="M58" s="265">
        <f t="shared" si="71"/>
        <v>-2.932994924</v>
      </c>
      <c r="N58" s="266">
        <f t="shared" si="72"/>
        <v>-3.932994924</v>
      </c>
    </row>
    <row r="59">
      <c r="A59" s="157" t="s">
        <v>65</v>
      </c>
      <c r="B59" s="44"/>
      <c r="C59" s="44"/>
      <c r="D59" s="44"/>
      <c r="E59" s="153"/>
      <c r="F59" s="47"/>
      <c r="G59" s="47"/>
      <c r="H59" s="47"/>
      <c r="I59" s="47"/>
      <c r="J59" s="47"/>
      <c r="K59" s="47"/>
      <c r="L59" s="47"/>
      <c r="M59" s="47"/>
      <c r="N59" s="47"/>
    </row>
    <row r="60">
      <c r="A60" s="158" t="s">
        <v>251</v>
      </c>
      <c r="B60" s="5">
        <v>12714.0</v>
      </c>
      <c r="C60" s="5">
        <v>19563.0</v>
      </c>
      <c r="D60" s="5">
        <v>27881.0</v>
      </c>
      <c r="E60" s="148">
        <v>26716.0</v>
      </c>
      <c r="F60" s="264">
        <f t="shared" ref="F60:F61" si="73">(C60-B60)</f>
        <v>6849</v>
      </c>
      <c r="G60" s="265">
        <f t="shared" ref="G60:G61" si="74">(C60/B60)</f>
        <v>1.538697499</v>
      </c>
      <c r="H60" s="266">
        <f t="shared" ref="H60:H61" si="75">(C60-B60)/B60</f>
        <v>0.5386974988</v>
      </c>
      <c r="I60" s="264">
        <f t="shared" ref="I60:I61" si="76">(D60-B60)</f>
        <v>15167</v>
      </c>
      <c r="J60" s="265">
        <f t="shared" ref="J60:J61" si="77">(D60/B60)</f>
        <v>2.19293692</v>
      </c>
      <c r="K60" s="266">
        <f t="shared" ref="K60:K61" si="78">(D60-B60)/B60</f>
        <v>1.19293692</v>
      </c>
      <c r="L60" s="264">
        <f t="shared" ref="L60:L61" si="79">(E60-B60)</f>
        <v>14002</v>
      </c>
      <c r="M60" s="265">
        <f t="shared" ref="M60:M61" si="80">(E60/B60)</f>
        <v>2.101305647</v>
      </c>
      <c r="N60" s="266">
        <f t="shared" ref="N60:N61" si="81">(E60-B60)/B60</f>
        <v>1.101305647</v>
      </c>
    </row>
    <row r="61">
      <c r="A61" s="157" t="s">
        <v>69</v>
      </c>
      <c r="B61" s="5">
        <v>36742.0</v>
      </c>
      <c r="C61" s="5">
        <v>57531.0</v>
      </c>
      <c r="D61" s="5">
        <v>63353.0</v>
      </c>
      <c r="E61" s="148">
        <v>67681.0</v>
      </c>
      <c r="F61" s="264">
        <f t="shared" si="73"/>
        <v>20789</v>
      </c>
      <c r="G61" s="265">
        <f t="shared" si="74"/>
        <v>1.565810244</v>
      </c>
      <c r="H61" s="266">
        <f t="shared" si="75"/>
        <v>0.5658102444</v>
      </c>
      <c r="I61" s="264">
        <f t="shared" si="76"/>
        <v>26611</v>
      </c>
      <c r="J61" s="265">
        <f t="shared" si="77"/>
        <v>1.724266507</v>
      </c>
      <c r="K61" s="266">
        <f t="shared" si="78"/>
        <v>0.724266507</v>
      </c>
      <c r="L61" s="264">
        <f t="shared" si="79"/>
        <v>30939</v>
      </c>
      <c r="M61" s="265">
        <f t="shared" si="80"/>
        <v>1.842060857</v>
      </c>
      <c r="N61" s="266">
        <f t="shared" si="81"/>
        <v>0.8420608568</v>
      </c>
    </row>
    <row r="62">
      <c r="A62" s="157" t="s">
        <v>56</v>
      </c>
      <c r="B62" s="44"/>
      <c r="C62" s="44"/>
      <c r="D62" s="44"/>
      <c r="E62" s="153"/>
      <c r="F62" s="47"/>
      <c r="G62" s="47"/>
      <c r="H62" s="47"/>
      <c r="I62" s="47"/>
      <c r="J62" s="47"/>
      <c r="K62" s="47"/>
      <c r="L62" s="47"/>
      <c r="M62" s="47"/>
      <c r="N62" s="47"/>
    </row>
    <row r="63">
      <c r="A63" s="158" t="s">
        <v>251</v>
      </c>
      <c r="B63" s="5">
        <v>48782.0</v>
      </c>
      <c r="C63" s="5">
        <v>5589.0</v>
      </c>
      <c r="D63" s="5">
        <v>2863.0</v>
      </c>
      <c r="E63" s="148">
        <v>4393.0</v>
      </c>
      <c r="F63" s="264">
        <f t="shared" ref="F63:F67" si="82">(C63-B63)</f>
        <v>-43193</v>
      </c>
      <c r="G63" s="265">
        <f t="shared" ref="G63:G67" si="83">(C63/B63)</f>
        <v>0.1145709483</v>
      </c>
      <c r="H63" s="266">
        <f t="shared" ref="H63:H67" si="84">(C63-B63)/B63</f>
        <v>-0.8854290517</v>
      </c>
      <c r="I63" s="264">
        <f t="shared" ref="I63:I67" si="85">(D63-B63)</f>
        <v>-45919</v>
      </c>
      <c r="J63" s="265">
        <f t="shared" ref="J63:J67" si="86">(D63/B63)</f>
        <v>0.05868968062</v>
      </c>
      <c r="K63" s="266">
        <f t="shared" ref="K63:K67" si="87">(D63-B63)/B63</f>
        <v>-0.9413103194</v>
      </c>
      <c r="L63" s="264">
        <f t="shared" ref="L63:L67" si="88">(E63-B63)</f>
        <v>-44389</v>
      </c>
      <c r="M63" s="265">
        <f t="shared" ref="M63:M67" si="89">(E63/B63)</f>
        <v>0.09005370834</v>
      </c>
      <c r="N63" s="266">
        <f t="shared" ref="N63:N67" si="90">(E63-B63)/B63</f>
        <v>-0.9099462917</v>
      </c>
    </row>
    <row r="64">
      <c r="A64" s="158" t="s">
        <v>260</v>
      </c>
      <c r="B64" s="5">
        <v>63.0</v>
      </c>
      <c r="C64" s="5">
        <v>5298.0</v>
      </c>
      <c r="D64" s="5">
        <v>111.0</v>
      </c>
      <c r="E64" s="269">
        <v>18.0</v>
      </c>
      <c r="F64" s="264">
        <f t="shared" si="82"/>
        <v>5235</v>
      </c>
      <c r="G64" s="265">
        <f t="shared" si="83"/>
        <v>84.0952381</v>
      </c>
      <c r="H64" s="266">
        <f t="shared" si="84"/>
        <v>83.0952381</v>
      </c>
      <c r="I64" s="264">
        <f t="shared" si="85"/>
        <v>48</v>
      </c>
      <c r="J64" s="265">
        <f t="shared" si="86"/>
        <v>1.761904762</v>
      </c>
      <c r="K64" s="266">
        <f t="shared" si="87"/>
        <v>0.7619047619</v>
      </c>
      <c r="L64" s="264">
        <f t="shared" si="88"/>
        <v>-45</v>
      </c>
      <c r="M64" s="265">
        <f t="shared" si="89"/>
        <v>0.2857142857</v>
      </c>
      <c r="N64" s="266">
        <f t="shared" si="90"/>
        <v>-0.7142857143</v>
      </c>
    </row>
    <row r="65">
      <c r="A65" s="157" t="s">
        <v>64</v>
      </c>
      <c r="B65" s="5">
        <v>74290.0</v>
      </c>
      <c r="C65" s="5">
        <v>27125.0</v>
      </c>
      <c r="D65" s="5">
        <v>36743.0</v>
      </c>
      <c r="E65" s="31">
        <v>48223.0</v>
      </c>
      <c r="F65" s="264">
        <f t="shared" si="82"/>
        <v>-47165</v>
      </c>
      <c r="G65" s="265">
        <f t="shared" si="83"/>
        <v>0.365123166</v>
      </c>
      <c r="H65" s="266">
        <f t="shared" si="84"/>
        <v>-0.634876834</v>
      </c>
      <c r="I65" s="264">
        <f t="shared" si="85"/>
        <v>-37547</v>
      </c>
      <c r="J65" s="265">
        <f t="shared" si="86"/>
        <v>0.4945887737</v>
      </c>
      <c r="K65" s="266">
        <f t="shared" si="87"/>
        <v>-0.5054112263</v>
      </c>
      <c r="L65" s="264">
        <f t="shared" si="88"/>
        <v>-26067</v>
      </c>
      <c r="M65" s="265">
        <f t="shared" si="89"/>
        <v>0.6491183201</v>
      </c>
      <c r="N65" s="266">
        <f t="shared" si="90"/>
        <v>-0.3508816799</v>
      </c>
    </row>
    <row r="66">
      <c r="A66" s="157" t="s">
        <v>262</v>
      </c>
      <c r="B66" s="5">
        <v>111032.0</v>
      </c>
      <c r="C66" s="5">
        <v>84657.0</v>
      </c>
      <c r="D66" s="5">
        <v>100096.0</v>
      </c>
      <c r="E66" s="270">
        <v>115905.0</v>
      </c>
      <c r="F66" s="255">
        <f t="shared" si="82"/>
        <v>-26375</v>
      </c>
      <c r="G66" s="256">
        <f t="shared" si="83"/>
        <v>0.7624558686</v>
      </c>
      <c r="H66" s="257">
        <f t="shared" si="84"/>
        <v>-0.2375441314</v>
      </c>
      <c r="I66" s="255">
        <f t="shared" si="85"/>
        <v>-10936</v>
      </c>
      <c r="J66" s="256">
        <f t="shared" si="86"/>
        <v>0.9015058722</v>
      </c>
      <c r="K66" s="257">
        <f t="shared" si="87"/>
        <v>-0.09849412782</v>
      </c>
      <c r="L66" s="255">
        <f t="shared" si="88"/>
        <v>4873</v>
      </c>
      <c r="M66" s="253">
        <f t="shared" si="89"/>
        <v>1.043888248</v>
      </c>
      <c r="N66" s="254">
        <f t="shared" si="90"/>
        <v>0.04388824843</v>
      </c>
    </row>
    <row r="67">
      <c r="A67" s="157" t="s">
        <v>263</v>
      </c>
      <c r="B67" s="5">
        <v>86106.0</v>
      </c>
      <c r="C67" s="5">
        <v>95458.0</v>
      </c>
      <c r="D67" s="5">
        <v>123163.0</v>
      </c>
      <c r="E67" s="31">
        <v>130350.0</v>
      </c>
      <c r="F67" s="255">
        <f t="shared" si="82"/>
        <v>9352</v>
      </c>
      <c r="G67" s="256">
        <f t="shared" si="83"/>
        <v>1.108610318</v>
      </c>
      <c r="H67" s="257">
        <f t="shared" si="84"/>
        <v>0.1086103175</v>
      </c>
      <c r="I67" s="255">
        <f t="shared" si="85"/>
        <v>37057</v>
      </c>
      <c r="J67" s="256">
        <f t="shared" si="86"/>
        <v>1.430364899</v>
      </c>
      <c r="K67" s="257">
        <f t="shared" si="87"/>
        <v>0.4303648991</v>
      </c>
      <c r="L67" s="255">
        <f t="shared" si="88"/>
        <v>44244</v>
      </c>
      <c r="M67" s="253">
        <f t="shared" si="89"/>
        <v>1.513831789</v>
      </c>
      <c r="N67" s="254">
        <f t="shared" si="90"/>
        <v>0.5138317887</v>
      </c>
    </row>
    <row r="70">
      <c r="A70" s="240" t="s">
        <v>290</v>
      </c>
      <c r="F70" s="241" t="s">
        <v>275</v>
      </c>
    </row>
    <row r="71">
      <c r="F71" s="242" t="s">
        <v>276</v>
      </c>
      <c r="G71" s="243" t="s">
        <v>277</v>
      </c>
      <c r="I71" s="244" t="s">
        <v>276</v>
      </c>
      <c r="J71" s="245" t="s">
        <v>277</v>
      </c>
      <c r="L71" s="244" t="s">
        <v>276</v>
      </c>
      <c r="M71" s="245" t="s">
        <v>277</v>
      </c>
    </row>
    <row r="72">
      <c r="A72" s="2" t="s">
        <v>278</v>
      </c>
      <c r="G72" s="247" t="s">
        <v>279</v>
      </c>
      <c r="H72" s="247" t="s">
        <v>280</v>
      </c>
      <c r="J72" s="248" t="s">
        <v>279</v>
      </c>
      <c r="K72" s="248" t="s">
        <v>280</v>
      </c>
      <c r="M72" s="248" t="s">
        <v>279</v>
      </c>
      <c r="N72" s="248" t="s">
        <v>280</v>
      </c>
    </row>
    <row r="73">
      <c r="A73" s="3"/>
      <c r="B73" s="4" t="s">
        <v>4</v>
      </c>
      <c r="C73" s="4" t="s">
        <v>5</v>
      </c>
      <c r="D73" s="4" t="s">
        <v>6</v>
      </c>
      <c r="E73" s="4" t="s">
        <v>7</v>
      </c>
      <c r="F73" s="250" t="s">
        <v>5</v>
      </c>
      <c r="I73" s="250" t="s">
        <v>6</v>
      </c>
      <c r="L73" s="250" t="s">
        <v>7</v>
      </c>
    </row>
    <row r="74">
      <c r="A74" s="88" t="s">
        <v>8</v>
      </c>
    </row>
    <row r="75">
      <c r="A75" s="88" t="s">
        <v>103</v>
      </c>
      <c r="B75" s="89"/>
      <c r="C75" s="89"/>
      <c r="D75" s="89"/>
      <c r="E75" s="89"/>
    </row>
    <row r="76">
      <c r="A76" s="99" t="s">
        <v>29</v>
      </c>
      <c r="B76" s="96">
        <v>1093498.0</v>
      </c>
      <c r="C76" s="96">
        <v>1118140.0</v>
      </c>
      <c r="D76" s="96">
        <v>1540448.0</v>
      </c>
      <c r="E76" s="96">
        <v>1797750.0</v>
      </c>
      <c r="F76" s="252">
        <f t="shared" ref="F76:F78" si="91">(C76-B76)</f>
        <v>24642</v>
      </c>
      <c r="G76" s="253">
        <f t="shared" ref="G76:G78" si="92">(C76/B76)</f>
        <v>1.022535021</v>
      </c>
      <c r="H76" s="254">
        <f t="shared" ref="H76:H78" si="93">(C76-B76)/B76</f>
        <v>0.02253502064</v>
      </c>
      <c r="I76" s="252">
        <f t="shared" ref="I76:I78" si="94">(D76-B76)</f>
        <v>446950</v>
      </c>
      <c r="J76" s="253">
        <f t="shared" ref="J76:J78" si="95">(D76/B76)</f>
        <v>1.408734172</v>
      </c>
      <c r="K76" s="254">
        <f t="shared" ref="K76:K78" si="96">(D76-B76)/B76</f>
        <v>0.4087341724</v>
      </c>
      <c r="L76" s="252">
        <f t="shared" ref="L76:L78" si="97">(E76-B76)</f>
        <v>704252</v>
      </c>
      <c r="M76" s="253">
        <f t="shared" ref="M76:M78" si="98">(E76/B76)</f>
        <v>1.644035929</v>
      </c>
      <c r="N76" s="254">
        <f t="shared" ref="N76:N78" si="99">(E76-B76)/B76</f>
        <v>0.6440359287</v>
      </c>
    </row>
    <row r="77">
      <c r="A77" s="271" t="s">
        <v>31</v>
      </c>
      <c r="B77" s="272">
        <v>306730.0</v>
      </c>
      <c r="C77" s="272">
        <v>322936.0</v>
      </c>
      <c r="D77" s="272">
        <v>552825.0</v>
      </c>
      <c r="E77" s="272">
        <v>719610.0</v>
      </c>
      <c r="F77" s="252">
        <f t="shared" si="91"/>
        <v>16206</v>
      </c>
      <c r="G77" s="253">
        <f t="shared" si="92"/>
        <v>1.052834741</v>
      </c>
      <c r="H77" s="254">
        <f t="shared" si="93"/>
        <v>0.05283474065</v>
      </c>
      <c r="I77" s="252">
        <f t="shared" si="94"/>
        <v>246095</v>
      </c>
      <c r="J77" s="253">
        <f t="shared" si="95"/>
        <v>1.802318</v>
      </c>
      <c r="K77" s="254">
        <f t="shared" si="96"/>
        <v>0.8023179995</v>
      </c>
      <c r="L77" s="252">
        <f t="shared" si="97"/>
        <v>412880</v>
      </c>
      <c r="M77" s="253">
        <f t="shared" si="98"/>
        <v>2.346069833</v>
      </c>
      <c r="N77" s="254">
        <f t="shared" si="99"/>
        <v>1.346069833</v>
      </c>
    </row>
    <row r="78">
      <c r="A78" s="273" t="s">
        <v>104</v>
      </c>
      <c r="B78" s="96">
        <v>5550.0</v>
      </c>
      <c r="C78" s="96">
        <v>6512.0</v>
      </c>
      <c r="D78" s="96">
        <v>36218.0</v>
      </c>
      <c r="E78" s="96">
        <v>113526.0</v>
      </c>
      <c r="F78" s="252">
        <f t="shared" si="91"/>
        <v>962</v>
      </c>
      <c r="G78" s="253">
        <f t="shared" si="92"/>
        <v>1.173333333</v>
      </c>
      <c r="H78" s="254">
        <f t="shared" si="93"/>
        <v>0.1733333333</v>
      </c>
      <c r="I78" s="252">
        <f t="shared" si="94"/>
        <v>30668</v>
      </c>
      <c r="J78" s="253">
        <f t="shared" si="95"/>
        <v>6.525765766</v>
      </c>
      <c r="K78" s="254">
        <f t="shared" si="96"/>
        <v>5.525765766</v>
      </c>
      <c r="L78" s="252">
        <f t="shared" si="97"/>
        <v>107976</v>
      </c>
      <c r="M78" s="253">
        <f t="shared" si="98"/>
        <v>20.45513514</v>
      </c>
      <c r="N78" s="254">
        <f t="shared" si="99"/>
        <v>19.45513514</v>
      </c>
    </row>
    <row r="79">
      <c r="A79" s="274" t="s">
        <v>40</v>
      </c>
      <c r="B79" s="272"/>
      <c r="C79" s="272"/>
      <c r="D79" s="272"/>
      <c r="E79" s="272"/>
      <c r="F79" s="12"/>
      <c r="G79" s="12"/>
      <c r="H79" s="12"/>
      <c r="I79" s="12"/>
      <c r="J79" s="12"/>
      <c r="K79" s="12"/>
      <c r="L79" s="12"/>
      <c r="M79" s="12"/>
      <c r="N79" s="12"/>
    </row>
    <row r="80">
      <c r="A80" s="99" t="s">
        <v>117</v>
      </c>
      <c r="B80" s="96">
        <v>6586.0</v>
      </c>
      <c r="C80" s="96">
        <v>6068.0</v>
      </c>
      <c r="D80" s="96">
        <v>7917.0</v>
      </c>
      <c r="E80" s="96">
        <v>11424.0</v>
      </c>
      <c r="F80" s="252">
        <f t="shared" ref="F80:F83" si="100">(C80-B80)</f>
        <v>-518</v>
      </c>
      <c r="G80" s="253">
        <f t="shared" ref="G80:G83" si="101">(C80/B80)</f>
        <v>0.9213483146</v>
      </c>
      <c r="H80" s="254">
        <f t="shared" ref="H80:H83" si="102">(C80-B80)/B80</f>
        <v>-0.07865168539</v>
      </c>
      <c r="I80" s="252">
        <f t="shared" ref="I80:I83" si="103">(D80-B80)</f>
        <v>1331</v>
      </c>
      <c r="J80" s="253">
        <f t="shared" ref="J80:J83" si="104">(D80/B80)</f>
        <v>1.202095354</v>
      </c>
      <c r="K80" s="254">
        <f t="shared" ref="K80:K83" si="105">(D80-B80)/B80</f>
        <v>0.2020953538</v>
      </c>
      <c r="L80" s="252">
        <f t="shared" ref="L80:L83" si="106">(E80-B80)</f>
        <v>4838</v>
      </c>
      <c r="M80" s="253">
        <f t="shared" ref="M80:M83" si="107">(E80/B80)</f>
        <v>1.734588521</v>
      </c>
      <c r="N80" s="254">
        <f t="shared" ref="N80:N83" si="108">(E80-B80)/B80</f>
        <v>0.7345885211</v>
      </c>
    </row>
    <row r="81">
      <c r="A81" s="271" t="s">
        <v>119</v>
      </c>
      <c r="B81" s="272">
        <v>888.0</v>
      </c>
      <c r="C81" s="272">
        <v>888.0</v>
      </c>
      <c r="D81" s="272">
        <v>2457.0</v>
      </c>
      <c r="E81" s="272">
        <v>2754.0</v>
      </c>
      <c r="F81" s="252">
        <f t="shared" si="100"/>
        <v>0</v>
      </c>
      <c r="G81" s="253">
        <f t="shared" si="101"/>
        <v>1</v>
      </c>
      <c r="H81" s="254">
        <f t="shared" si="102"/>
        <v>0</v>
      </c>
      <c r="I81" s="252">
        <f t="shared" si="103"/>
        <v>1569</v>
      </c>
      <c r="J81" s="253">
        <f t="shared" si="104"/>
        <v>2.766891892</v>
      </c>
      <c r="K81" s="254">
        <f t="shared" si="105"/>
        <v>1.766891892</v>
      </c>
      <c r="L81" s="252">
        <f t="shared" si="106"/>
        <v>1866</v>
      </c>
      <c r="M81" s="253">
        <f t="shared" si="107"/>
        <v>3.101351351</v>
      </c>
      <c r="N81" s="254">
        <f t="shared" si="108"/>
        <v>2.101351351</v>
      </c>
    </row>
    <row r="82">
      <c r="A82" s="99" t="s">
        <v>111</v>
      </c>
      <c r="B82" s="96">
        <v>18944.0</v>
      </c>
      <c r="C82" s="96">
        <v>17538.0</v>
      </c>
      <c r="D82" s="96">
        <v>45227.0</v>
      </c>
      <c r="E82" s="96">
        <v>65688.0</v>
      </c>
      <c r="F82" s="252">
        <f t="shared" si="100"/>
        <v>-1406</v>
      </c>
      <c r="G82" s="253">
        <f t="shared" si="101"/>
        <v>0.92578125</v>
      </c>
      <c r="H82" s="254">
        <f t="shared" si="102"/>
        <v>-0.07421875</v>
      </c>
      <c r="I82" s="252">
        <f t="shared" si="103"/>
        <v>26283</v>
      </c>
      <c r="J82" s="253">
        <f t="shared" si="104"/>
        <v>2.387404983</v>
      </c>
      <c r="K82" s="254">
        <f t="shared" si="105"/>
        <v>1.387404983</v>
      </c>
      <c r="L82" s="252">
        <f t="shared" si="106"/>
        <v>46744</v>
      </c>
      <c r="M82" s="253">
        <f t="shared" si="107"/>
        <v>3.467483108</v>
      </c>
      <c r="N82" s="254">
        <f t="shared" si="108"/>
        <v>2.467483108</v>
      </c>
    </row>
    <row r="83">
      <c r="A83" s="275" t="s">
        <v>125</v>
      </c>
      <c r="B83" s="272">
        <v>1580048.0</v>
      </c>
      <c r="C83" s="272">
        <v>1598326.0</v>
      </c>
      <c r="D83" s="272">
        <v>2463916.0</v>
      </c>
      <c r="E83" s="272">
        <v>3058062.0</v>
      </c>
      <c r="F83" s="252">
        <f t="shared" si="100"/>
        <v>18278</v>
      </c>
      <c r="G83" s="253">
        <f t="shared" si="101"/>
        <v>1.011568003</v>
      </c>
      <c r="H83" s="254">
        <f t="shared" si="102"/>
        <v>0.011568003</v>
      </c>
      <c r="I83" s="252">
        <f t="shared" si="103"/>
        <v>883868</v>
      </c>
      <c r="J83" s="253">
        <f t="shared" si="104"/>
        <v>1.559393132</v>
      </c>
      <c r="K83" s="254">
        <f t="shared" si="105"/>
        <v>0.5593931324</v>
      </c>
      <c r="L83" s="252">
        <f t="shared" si="106"/>
        <v>1478014</v>
      </c>
      <c r="M83" s="253">
        <f t="shared" si="107"/>
        <v>1.935423481</v>
      </c>
      <c r="N83" s="254">
        <f t="shared" si="108"/>
        <v>0.9354234808</v>
      </c>
    </row>
    <row r="84">
      <c r="A84" s="88" t="s">
        <v>126</v>
      </c>
      <c r="B84" s="96"/>
      <c r="C84" s="96"/>
      <c r="D84" s="96"/>
      <c r="E84" s="96"/>
      <c r="F84" s="12"/>
      <c r="G84" s="12"/>
      <c r="H84" s="12"/>
      <c r="I84" s="12"/>
      <c r="J84" s="12"/>
      <c r="K84" s="12"/>
      <c r="L84" s="12"/>
      <c r="M84" s="12"/>
      <c r="N84" s="12"/>
    </row>
    <row r="85">
      <c r="A85" s="271" t="s">
        <v>127</v>
      </c>
      <c r="B85" s="272">
        <v>134014.0</v>
      </c>
      <c r="C85" s="272">
        <v>198098.0</v>
      </c>
      <c r="D85" s="272">
        <v>62153.0</v>
      </c>
      <c r="E85" s="272">
        <v>277542.0</v>
      </c>
      <c r="F85" s="252">
        <f>(C85-B85)</f>
        <v>64084</v>
      </c>
      <c r="G85" s="253">
        <f>(C85/B85)</f>
        <v>1.478188846</v>
      </c>
      <c r="H85" s="254">
        <f>(C85-B85)/B85</f>
        <v>0.4781888459</v>
      </c>
      <c r="I85" s="252">
        <f>(D85-B85)</f>
        <v>-71861</v>
      </c>
      <c r="J85" s="253">
        <f>(D85/B85)</f>
        <v>0.4637799036</v>
      </c>
      <c r="K85" s="254">
        <f>(D85-B85)/B85</f>
        <v>-0.5362200964</v>
      </c>
      <c r="L85" s="252">
        <f>(E85-B85)</f>
        <v>143528</v>
      </c>
      <c r="M85" s="253">
        <f>(E85/B85)</f>
        <v>2.070992583</v>
      </c>
      <c r="N85" s="254">
        <f>(E85-B85)/B85</f>
        <v>1.070992583</v>
      </c>
    </row>
    <row r="86">
      <c r="A86" s="89" t="s">
        <v>130</v>
      </c>
      <c r="B86" s="96"/>
      <c r="C86" s="96"/>
      <c r="D86" s="96"/>
      <c r="E86" s="96"/>
      <c r="F86" s="12"/>
      <c r="G86" s="12"/>
      <c r="H86" s="12"/>
      <c r="I86" s="12"/>
      <c r="J86" s="12"/>
      <c r="K86" s="12"/>
      <c r="L86" s="12"/>
      <c r="M86" s="12"/>
      <c r="N86" s="12"/>
    </row>
    <row r="87">
      <c r="A87" s="271" t="s">
        <v>108</v>
      </c>
      <c r="B87" s="272">
        <v>1332.0</v>
      </c>
      <c r="C87" s="272">
        <v>1776.0</v>
      </c>
      <c r="D87" s="272">
        <v>4550.0</v>
      </c>
      <c r="E87" s="272">
        <v>4386.0</v>
      </c>
      <c r="F87" s="252">
        <f t="shared" ref="F87:F88" si="109">(C87-B87)</f>
        <v>444</v>
      </c>
      <c r="G87" s="253">
        <f t="shared" ref="G87:G88" si="110">(C87/B87)</f>
        <v>1.333333333</v>
      </c>
      <c r="H87" s="254">
        <f t="shared" ref="H87:H88" si="111">(C87-B87)/B87</f>
        <v>0.3333333333</v>
      </c>
      <c r="I87" s="252">
        <f t="shared" ref="I87:I88" si="112">(D87-B87)</f>
        <v>3218</v>
      </c>
      <c r="J87" s="253">
        <f t="shared" ref="J87:J88" si="113">(D87/B87)</f>
        <v>3.415915916</v>
      </c>
      <c r="K87" s="254">
        <f t="shared" ref="K87:K88" si="114">(D87-B87)/B87</f>
        <v>2.415915916</v>
      </c>
      <c r="L87" s="252">
        <f t="shared" ref="L87:L88" si="115">(E87-B87)</f>
        <v>3054</v>
      </c>
      <c r="M87" s="253">
        <f t="shared" ref="M87:M88" si="116">(E87/B87)</f>
        <v>3.292792793</v>
      </c>
      <c r="N87" s="254">
        <f t="shared" ref="N87:N88" si="117">(E87-B87)/B87</f>
        <v>2.292792793</v>
      </c>
    </row>
    <row r="88">
      <c r="A88" s="99" t="s">
        <v>109</v>
      </c>
      <c r="B88" s="96">
        <v>45806.0</v>
      </c>
      <c r="C88" s="96">
        <v>66674.0</v>
      </c>
      <c r="D88" s="96">
        <v>73346.0</v>
      </c>
      <c r="E88" s="96">
        <v>87924.0</v>
      </c>
      <c r="F88" s="252">
        <f t="shared" si="109"/>
        <v>20868</v>
      </c>
      <c r="G88" s="253">
        <f t="shared" si="110"/>
        <v>1.455573506</v>
      </c>
      <c r="H88" s="254">
        <f t="shared" si="111"/>
        <v>0.4555735057</v>
      </c>
      <c r="I88" s="252">
        <f t="shared" si="112"/>
        <v>27540</v>
      </c>
      <c r="J88" s="253">
        <f t="shared" si="113"/>
        <v>1.60123128</v>
      </c>
      <c r="K88" s="254">
        <f t="shared" si="114"/>
        <v>0.6012312797</v>
      </c>
      <c r="L88" s="252">
        <f t="shared" si="115"/>
        <v>42118</v>
      </c>
      <c r="M88" s="253">
        <f t="shared" si="116"/>
        <v>1.91948653</v>
      </c>
      <c r="N88" s="254">
        <f t="shared" si="117"/>
        <v>0.9194865301</v>
      </c>
    </row>
    <row r="89">
      <c r="A89" s="274" t="s">
        <v>106</v>
      </c>
      <c r="B89" s="272"/>
      <c r="C89" s="272"/>
      <c r="D89" s="272"/>
      <c r="E89" s="272"/>
      <c r="F89" s="12"/>
      <c r="G89" s="12"/>
      <c r="H89" s="12"/>
      <c r="I89" s="12"/>
      <c r="J89" s="12"/>
      <c r="K89" s="12"/>
      <c r="L89" s="12"/>
      <c r="M89" s="12"/>
      <c r="N89" s="12"/>
    </row>
    <row r="90">
      <c r="A90" s="99" t="s">
        <v>108</v>
      </c>
      <c r="B90" s="96">
        <v>444.0</v>
      </c>
      <c r="C90" s="96">
        <v>444.0</v>
      </c>
      <c r="D90" s="96">
        <v>819.0</v>
      </c>
      <c r="E90" s="96">
        <v>918.0</v>
      </c>
      <c r="F90" s="252">
        <f t="shared" ref="F90:F93" si="118">(C90-B90)</f>
        <v>0</v>
      </c>
      <c r="G90" s="253">
        <f t="shared" ref="G90:G93" si="119">(C90/B90)</f>
        <v>1</v>
      </c>
      <c r="H90" s="254">
        <f t="shared" ref="H90:H93" si="120">(C90-B90)/B90</f>
        <v>0</v>
      </c>
      <c r="I90" s="252">
        <f t="shared" ref="I90:I93" si="121">(D90-B90)</f>
        <v>375</v>
      </c>
      <c r="J90" s="253">
        <f t="shared" ref="J90:J93" si="122">(D90/B90)</f>
        <v>1.844594595</v>
      </c>
      <c r="K90" s="254">
        <f t="shared" ref="K90:K93" si="123">(D90-B90)/B90</f>
        <v>0.8445945946</v>
      </c>
      <c r="L90" s="252">
        <f t="shared" ref="L90:L93" si="124">(E90-B90)</f>
        <v>474</v>
      </c>
      <c r="M90" s="253">
        <f t="shared" ref="M90:M93" si="125">(E90/B90)</f>
        <v>2.067567568</v>
      </c>
      <c r="N90" s="254">
        <f t="shared" ref="N90:N93" si="126">(E90-B90)/B90</f>
        <v>1.067567568</v>
      </c>
    </row>
    <row r="91">
      <c r="A91" s="271" t="s">
        <v>109</v>
      </c>
      <c r="B91" s="272">
        <v>81030.0</v>
      </c>
      <c r="C91" s="272">
        <v>58534.0</v>
      </c>
      <c r="D91" s="272">
        <v>80080.0</v>
      </c>
      <c r="E91" s="272">
        <v>138618.0</v>
      </c>
      <c r="F91" s="252">
        <f t="shared" si="118"/>
        <v>-22496</v>
      </c>
      <c r="G91" s="253">
        <f t="shared" si="119"/>
        <v>0.7223744292</v>
      </c>
      <c r="H91" s="254">
        <f t="shared" si="120"/>
        <v>-0.2776255708</v>
      </c>
      <c r="I91" s="252">
        <f t="shared" si="121"/>
        <v>-950</v>
      </c>
      <c r="J91" s="253">
        <f t="shared" si="122"/>
        <v>0.9882759472</v>
      </c>
      <c r="K91" s="254">
        <f t="shared" si="123"/>
        <v>-0.01172405282</v>
      </c>
      <c r="L91" s="252">
        <f t="shared" si="124"/>
        <v>57588</v>
      </c>
      <c r="M91" s="253">
        <f t="shared" si="125"/>
        <v>1.710699741</v>
      </c>
      <c r="N91" s="254">
        <f t="shared" si="126"/>
        <v>0.7106997408</v>
      </c>
    </row>
    <row r="92">
      <c r="A92" s="88" t="s">
        <v>143</v>
      </c>
      <c r="B92" s="96">
        <v>309172.0</v>
      </c>
      <c r="C92" s="96">
        <v>365412.0</v>
      </c>
      <c r="D92" s="96">
        <v>782145.0</v>
      </c>
      <c r="E92" s="96">
        <v>988686.0</v>
      </c>
      <c r="F92" s="252">
        <f t="shared" si="118"/>
        <v>56240</v>
      </c>
      <c r="G92" s="253">
        <f t="shared" si="119"/>
        <v>1.181905218</v>
      </c>
      <c r="H92" s="254">
        <f t="shared" si="120"/>
        <v>0.1819052178</v>
      </c>
      <c r="I92" s="252">
        <f t="shared" si="121"/>
        <v>472973</v>
      </c>
      <c r="J92" s="253">
        <f t="shared" si="122"/>
        <v>2.529805416</v>
      </c>
      <c r="K92" s="254">
        <f t="shared" si="123"/>
        <v>1.529805416</v>
      </c>
      <c r="L92" s="252">
        <f t="shared" si="124"/>
        <v>679514</v>
      </c>
      <c r="M92" s="253">
        <f t="shared" si="125"/>
        <v>3.197851034</v>
      </c>
      <c r="N92" s="254">
        <f t="shared" si="126"/>
        <v>2.197851034</v>
      </c>
    </row>
    <row r="93">
      <c r="A93" s="275" t="s">
        <v>51</v>
      </c>
      <c r="B93" s="272">
        <v>1889220.0</v>
      </c>
      <c r="C93" s="272">
        <v>1963738.0</v>
      </c>
      <c r="D93" s="272">
        <v>3246061.0</v>
      </c>
      <c r="E93" s="272">
        <v>4046748.0</v>
      </c>
      <c r="F93" s="252">
        <f t="shared" si="118"/>
        <v>74518</v>
      </c>
      <c r="G93" s="253">
        <f t="shared" si="119"/>
        <v>1.039443792</v>
      </c>
      <c r="H93" s="254">
        <f t="shared" si="120"/>
        <v>0.03944379162</v>
      </c>
      <c r="I93" s="252">
        <f t="shared" si="121"/>
        <v>1356841</v>
      </c>
      <c r="J93" s="253">
        <f t="shared" si="122"/>
        <v>1.718201692</v>
      </c>
      <c r="K93" s="254">
        <f t="shared" si="123"/>
        <v>0.7182016917</v>
      </c>
      <c r="L93" s="252">
        <f t="shared" si="124"/>
        <v>2157528</v>
      </c>
      <c r="M93" s="253">
        <f t="shared" si="125"/>
        <v>2.142020516</v>
      </c>
      <c r="N93" s="254">
        <f t="shared" si="126"/>
        <v>1.142020516</v>
      </c>
    </row>
    <row r="94">
      <c r="A94" s="88" t="s">
        <v>53</v>
      </c>
      <c r="B94" s="96"/>
      <c r="C94" s="96"/>
      <c r="D94" s="96"/>
      <c r="E94" s="96"/>
      <c r="F94" s="12"/>
      <c r="G94" s="12"/>
      <c r="H94" s="12"/>
      <c r="I94" s="12"/>
      <c r="J94" s="12"/>
      <c r="K94" s="12"/>
      <c r="L94" s="12"/>
      <c r="M94" s="12"/>
      <c r="N94" s="12"/>
    </row>
    <row r="95">
      <c r="A95" s="275" t="s">
        <v>151</v>
      </c>
      <c r="B95" s="272"/>
      <c r="C95" s="272"/>
      <c r="D95" s="272"/>
      <c r="E95" s="272"/>
      <c r="F95" s="12"/>
      <c r="G95" s="12"/>
      <c r="H95" s="12"/>
      <c r="I95" s="12"/>
      <c r="J95" s="12"/>
      <c r="K95" s="12"/>
      <c r="L95" s="12"/>
      <c r="M95" s="12"/>
      <c r="N95" s="12"/>
    </row>
    <row r="96">
      <c r="A96" s="99" t="s">
        <v>72</v>
      </c>
      <c r="B96" s="96">
        <v>118178.0</v>
      </c>
      <c r="C96" s="96">
        <v>118178.0</v>
      </c>
      <c r="D96" s="96">
        <v>145327.0</v>
      </c>
      <c r="E96" s="96">
        <v>162894.0</v>
      </c>
      <c r="F96" s="252">
        <f t="shared" ref="F96:F97" si="127">(C96-B96)</f>
        <v>0</v>
      </c>
      <c r="G96" s="253">
        <f t="shared" ref="G96:G97" si="128">(C96/B96)</f>
        <v>1</v>
      </c>
      <c r="H96" s="254">
        <f t="shared" ref="H96:H97" si="129">(C96-B96)/B96</f>
        <v>0</v>
      </c>
      <c r="I96" s="252">
        <f t="shared" ref="I96:I97" si="130">(D96-B96)</f>
        <v>27149</v>
      </c>
      <c r="J96" s="253">
        <f t="shared" ref="J96:J97" si="131">(D96/B96)</f>
        <v>1.22972973</v>
      </c>
      <c r="K96" s="254">
        <f t="shared" ref="K96:K97" si="132">(D96-B96)/B96</f>
        <v>0.2297297297</v>
      </c>
      <c r="L96" s="252">
        <f t="shared" ref="L96:L97" si="133">(E96-B96)</f>
        <v>44716</v>
      </c>
      <c r="M96" s="253">
        <f t="shared" ref="M96:M97" si="134">(E96/B96)</f>
        <v>1.378378378</v>
      </c>
      <c r="N96" s="254">
        <f t="shared" ref="N96:N97" si="135">(E96-B96)/B96</f>
        <v>0.3783783784</v>
      </c>
    </row>
    <row r="97">
      <c r="A97" s="275" t="s">
        <v>80</v>
      </c>
      <c r="B97" s="272">
        <v>398342.0</v>
      </c>
      <c r="C97" s="272">
        <v>505938.0</v>
      </c>
      <c r="D97" s="272">
        <v>1416233.0</v>
      </c>
      <c r="E97" s="272">
        <v>1970028.0</v>
      </c>
      <c r="F97" s="252">
        <f t="shared" si="127"/>
        <v>107596</v>
      </c>
      <c r="G97" s="253">
        <f t="shared" si="128"/>
        <v>1.270109604</v>
      </c>
      <c r="H97" s="254">
        <f t="shared" si="129"/>
        <v>0.2701096043</v>
      </c>
      <c r="I97" s="252">
        <f t="shared" si="130"/>
        <v>1017891</v>
      </c>
      <c r="J97" s="253">
        <f t="shared" si="131"/>
        <v>3.555319298</v>
      </c>
      <c r="K97" s="254">
        <f t="shared" si="132"/>
        <v>2.555319298</v>
      </c>
      <c r="L97" s="252">
        <f t="shared" si="133"/>
        <v>1571686</v>
      </c>
      <c r="M97" s="253">
        <f t="shared" si="134"/>
        <v>4.945569385</v>
      </c>
      <c r="N97" s="254">
        <f t="shared" si="135"/>
        <v>3.945569385</v>
      </c>
    </row>
    <row r="98">
      <c r="A98" s="88" t="s">
        <v>175</v>
      </c>
      <c r="B98" s="96"/>
      <c r="C98" s="96"/>
      <c r="D98" s="96"/>
      <c r="E98" s="96"/>
      <c r="F98" s="12"/>
      <c r="G98" s="12"/>
      <c r="H98" s="12"/>
      <c r="I98" s="12"/>
      <c r="J98" s="12"/>
      <c r="K98" s="12"/>
      <c r="L98" s="12"/>
      <c r="M98" s="12"/>
      <c r="N98" s="12"/>
    </row>
    <row r="99">
      <c r="A99" s="271" t="s">
        <v>176</v>
      </c>
      <c r="B99" s="272">
        <v>198394.0</v>
      </c>
      <c r="C99" s="272">
        <v>172642.0</v>
      </c>
      <c r="D99" s="272">
        <v>42952.0</v>
      </c>
      <c r="E99" s="272">
        <v>3366.0</v>
      </c>
      <c r="F99" s="252">
        <f t="shared" ref="F99:F100" si="136">(C99-B99)</f>
        <v>-25752</v>
      </c>
      <c r="G99" s="253">
        <f t="shared" ref="G99:G100" si="137">(C99/B99)</f>
        <v>0.8701976874</v>
      </c>
      <c r="H99" s="254">
        <f t="shared" ref="H99:H100" si="138">(C99-B99)/B99</f>
        <v>-0.1298023126</v>
      </c>
      <c r="I99" s="252">
        <f t="shared" ref="I99:I100" si="139">(D99-B99)</f>
        <v>-155442</v>
      </c>
      <c r="J99" s="253">
        <f t="shared" ref="J99:J100" si="140">(D99/B99)</f>
        <v>0.2164984828</v>
      </c>
      <c r="K99" s="254">
        <f t="shared" ref="K99:K100" si="141">(D99-B99)/B99</f>
        <v>-0.7835015172</v>
      </c>
      <c r="L99" s="252">
        <f t="shared" ref="L99:L100" si="142">(E99-B99)</f>
        <v>-195028</v>
      </c>
      <c r="M99" s="253">
        <f t="shared" ref="M99:M100" si="143">(E99/B99)</f>
        <v>0.0169662389</v>
      </c>
      <c r="N99" s="254">
        <f t="shared" ref="N99:N100" si="144">(E99-B99)/B99</f>
        <v>-0.9830337611</v>
      </c>
    </row>
    <row r="100">
      <c r="A100" s="88" t="s">
        <v>184</v>
      </c>
      <c r="B100" s="96">
        <v>1013282.0</v>
      </c>
      <c r="C100" s="96">
        <v>956598.0</v>
      </c>
      <c r="D100" s="96">
        <v>1002911.0</v>
      </c>
      <c r="E100" s="96">
        <v>1096908.0</v>
      </c>
      <c r="F100" s="252">
        <f t="shared" si="136"/>
        <v>-56684</v>
      </c>
      <c r="G100" s="253">
        <f t="shared" si="137"/>
        <v>0.9440590083</v>
      </c>
      <c r="H100" s="254">
        <f t="shared" si="138"/>
        <v>-0.05594099175</v>
      </c>
      <c r="I100" s="252">
        <f t="shared" si="139"/>
        <v>-10371</v>
      </c>
      <c r="J100" s="253">
        <f t="shared" si="140"/>
        <v>0.989764942</v>
      </c>
      <c r="K100" s="254">
        <f t="shared" si="141"/>
        <v>-0.01023505796</v>
      </c>
      <c r="L100" s="252">
        <f t="shared" si="142"/>
        <v>83626</v>
      </c>
      <c r="M100" s="253">
        <f t="shared" si="143"/>
        <v>1.082529839</v>
      </c>
      <c r="N100" s="254">
        <f t="shared" si="144"/>
        <v>0.08252983868</v>
      </c>
    </row>
    <row r="101">
      <c r="A101" s="275" t="s">
        <v>185</v>
      </c>
      <c r="B101" s="272"/>
      <c r="C101" s="272"/>
      <c r="D101" s="272"/>
      <c r="E101" s="272"/>
      <c r="F101" s="12"/>
      <c r="G101" s="12"/>
      <c r="H101" s="12"/>
      <c r="I101" s="12"/>
      <c r="J101" s="12"/>
      <c r="K101" s="12"/>
      <c r="L101" s="12"/>
      <c r="M101" s="12"/>
      <c r="N101" s="12"/>
    </row>
    <row r="102">
      <c r="A102" s="99" t="s">
        <v>186</v>
      </c>
      <c r="B102" s="96">
        <v>112998.0</v>
      </c>
      <c r="C102" s="96">
        <v>65342.0</v>
      </c>
      <c r="D102" s="96">
        <v>122395.0</v>
      </c>
      <c r="E102" s="96">
        <v>160242.0</v>
      </c>
      <c r="F102" s="252">
        <f t="shared" ref="F102:F104" si="145">(C102-B102)</f>
        <v>-47656</v>
      </c>
      <c r="G102" s="253">
        <f t="shared" ref="G102:G104" si="146">(C102/B102)</f>
        <v>0.5782580223</v>
      </c>
      <c r="H102" s="254">
        <f t="shared" ref="H102:H104" si="147">(C102-B102)/B102</f>
        <v>-0.4217419777</v>
      </c>
      <c r="I102" s="252">
        <f t="shared" ref="I102:I104" si="148">(D102-B102)</f>
        <v>9397</v>
      </c>
      <c r="J102" s="253">
        <f t="shared" ref="J102:J104" si="149">(D102/B102)</f>
        <v>1.083160764</v>
      </c>
      <c r="K102" s="254">
        <f t="shared" ref="K102:K104" si="150">(D102-B102)/B102</f>
        <v>0.08316076391</v>
      </c>
      <c r="L102" s="252">
        <f t="shared" ref="L102:L104" si="151">(E102-B102)</f>
        <v>47244</v>
      </c>
      <c r="M102" s="253">
        <f t="shared" ref="M102:M104" si="152">(E102/B102)</f>
        <v>1.418095896</v>
      </c>
      <c r="N102" s="254">
        <f t="shared" ref="N102:N104" si="153">(E102-B102)/B102</f>
        <v>0.4180958955</v>
      </c>
    </row>
    <row r="103">
      <c r="A103" s="271" t="s">
        <v>140</v>
      </c>
      <c r="B103" s="272">
        <v>2812.0</v>
      </c>
      <c r="C103" s="272">
        <v>1480.0</v>
      </c>
      <c r="D103" s="272">
        <v>3731.0</v>
      </c>
      <c r="E103" s="272">
        <v>2958.0</v>
      </c>
      <c r="F103" s="252">
        <f t="shared" si="145"/>
        <v>-1332</v>
      </c>
      <c r="G103" s="253">
        <f t="shared" si="146"/>
        <v>0.5263157895</v>
      </c>
      <c r="H103" s="254">
        <f t="shared" si="147"/>
        <v>-0.4736842105</v>
      </c>
      <c r="I103" s="252">
        <f t="shared" si="148"/>
        <v>919</v>
      </c>
      <c r="J103" s="253">
        <f t="shared" si="149"/>
        <v>1.326813656</v>
      </c>
      <c r="K103" s="254">
        <f t="shared" si="150"/>
        <v>0.3268136558</v>
      </c>
      <c r="L103" s="252">
        <f t="shared" si="151"/>
        <v>146</v>
      </c>
      <c r="M103" s="253">
        <f t="shared" si="152"/>
        <v>1.051920341</v>
      </c>
      <c r="N103" s="254">
        <f t="shared" si="153"/>
        <v>0.05192034139</v>
      </c>
    </row>
    <row r="104">
      <c r="A104" s="99" t="s">
        <v>187</v>
      </c>
      <c r="B104" s="96">
        <v>87764.0</v>
      </c>
      <c r="C104" s="96">
        <v>106782.0</v>
      </c>
      <c r="D104" s="96">
        <v>56238.0</v>
      </c>
      <c r="E104" s="96">
        <v>29682.0</v>
      </c>
      <c r="F104" s="252">
        <f t="shared" si="145"/>
        <v>19018</v>
      </c>
      <c r="G104" s="253">
        <f t="shared" si="146"/>
        <v>1.216694772</v>
      </c>
      <c r="H104" s="254">
        <f t="shared" si="147"/>
        <v>0.2166947723</v>
      </c>
      <c r="I104" s="252">
        <f t="shared" si="148"/>
        <v>-31526</v>
      </c>
      <c r="J104" s="253">
        <f t="shared" si="149"/>
        <v>0.6407866551</v>
      </c>
      <c r="K104" s="254">
        <f t="shared" si="150"/>
        <v>-0.3592133449</v>
      </c>
      <c r="L104" s="252">
        <f t="shared" si="151"/>
        <v>-58082</v>
      </c>
      <c r="M104" s="253">
        <f t="shared" si="152"/>
        <v>0.338202452</v>
      </c>
      <c r="N104" s="254">
        <f t="shared" si="153"/>
        <v>-0.661797548</v>
      </c>
    </row>
    <row r="105">
      <c r="A105" s="274" t="s">
        <v>190</v>
      </c>
      <c r="B105" s="272"/>
      <c r="C105" s="272"/>
      <c r="D105" s="272"/>
      <c r="E105" s="272"/>
      <c r="F105" s="12"/>
      <c r="G105" s="12"/>
      <c r="H105" s="12"/>
      <c r="I105" s="12"/>
      <c r="J105" s="12"/>
      <c r="K105" s="12"/>
      <c r="L105" s="12"/>
      <c r="M105" s="12"/>
      <c r="N105" s="12"/>
    </row>
    <row r="106">
      <c r="A106" s="99" t="s">
        <v>108</v>
      </c>
      <c r="B106" s="96">
        <v>10434.0</v>
      </c>
      <c r="C106" s="96">
        <v>12358.0</v>
      </c>
      <c r="D106" s="96">
        <v>25935.0</v>
      </c>
      <c r="E106" s="96">
        <v>29886.0</v>
      </c>
      <c r="F106" s="252">
        <f t="shared" ref="F106:F109" si="154">(C106-B106)</f>
        <v>1924</v>
      </c>
      <c r="G106" s="253">
        <f t="shared" ref="G106:G109" si="155">(C106/B106)</f>
        <v>1.184397163</v>
      </c>
      <c r="H106" s="254">
        <f t="shared" ref="H106:H109" si="156">(C106-B106)/B106</f>
        <v>0.1843971631</v>
      </c>
      <c r="I106" s="252">
        <f t="shared" ref="I106:I109" si="157">(D106-B106)</f>
        <v>15501</v>
      </c>
      <c r="J106" s="253">
        <f t="shared" ref="J106:J109" si="158">(D106/B106)</f>
        <v>2.485623922</v>
      </c>
      <c r="K106" s="254">
        <f t="shared" ref="K106:K109" si="159">(D106-B106)/B106</f>
        <v>1.485623922</v>
      </c>
      <c r="L106" s="252">
        <f t="shared" ref="L106:L109" si="160">(E106-B106)</f>
        <v>19452</v>
      </c>
      <c r="M106" s="253">
        <f t="shared" ref="M106:M109" si="161">(E106/B106)</f>
        <v>2.864289822</v>
      </c>
      <c r="N106" s="254">
        <f t="shared" ref="N106:N109" si="162">(E106-B106)/B106</f>
        <v>1.864289822</v>
      </c>
    </row>
    <row r="107">
      <c r="A107" s="271" t="s">
        <v>109</v>
      </c>
      <c r="B107" s="272">
        <v>53280.0</v>
      </c>
      <c r="C107" s="272">
        <v>53576.0</v>
      </c>
      <c r="D107" s="272">
        <v>91546.0</v>
      </c>
      <c r="E107" s="272">
        <v>122502.0</v>
      </c>
      <c r="F107" s="252">
        <f t="shared" si="154"/>
        <v>296</v>
      </c>
      <c r="G107" s="253">
        <f t="shared" si="155"/>
        <v>1.005555556</v>
      </c>
      <c r="H107" s="254">
        <f t="shared" si="156"/>
        <v>0.005555555556</v>
      </c>
      <c r="I107" s="252">
        <f t="shared" si="157"/>
        <v>38266</v>
      </c>
      <c r="J107" s="253">
        <f t="shared" si="158"/>
        <v>1.718205706</v>
      </c>
      <c r="K107" s="254">
        <f t="shared" si="159"/>
        <v>0.7182057057</v>
      </c>
      <c r="L107" s="252">
        <f t="shared" si="160"/>
        <v>69222</v>
      </c>
      <c r="M107" s="253">
        <f t="shared" si="161"/>
        <v>2.299211712</v>
      </c>
      <c r="N107" s="254">
        <f t="shared" si="162"/>
        <v>1.299211712</v>
      </c>
    </row>
    <row r="108">
      <c r="A108" s="88" t="s">
        <v>196</v>
      </c>
      <c r="B108" s="96">
        <v>477596.0</v>
      </c>
      <c r="C108" s="96">
        <v>501202.0</v>
      </c>
      <c r="D108" s="96">
        <v>826917.0</v>
      </c>
      <c r="E108" s="96">
        <v>979812.0</v>
      </c>
      <c r="F108" s="252">
        <f t="shared" si="154"/>
        <v>23606</v>
      </c>
      <c r="G108" s="253">
        <f t="shared" si="155"/>
        <v>1.049426712</v>
      </c>
      <c r="H108" s="254">
        <f t="shared" si="156"/>
        <v>0.04942671212</v>
      </c>
      <c r="I108" s="252">
        <f t="shared" si="157"/>
        <v>349321</v>
      </c>
      <c r="J108" s="253">
        <f t="shared" si="158"/>
        <v>1.731415255</v>
      </c>
      <c r="K108" s="254">
        <f t="shared" si="159"/>
        <v>0.7314152547</v>
      </c>
      <c r="L108" s="252">
        <f t="shared" si="160"/>
        <v>502216</v>
      </c>
      <c r="M108" s="253">
        <f t="shared" si="161"/>
        <v>2.051549845</v>
      </c>
      <c r="N108" s="254">
        <f t="shared" si="162"/>
        <v>1.051549845</v>
      </c>
    </row>
    <row r="109">
      <c r="A109" s="275" t="s">
        <v>81</v>
      </c>
      <c r="B109" s="272">
        <v>1889220.0</v>
      </c>
      <c r="C109" s="272">
        <v>1963738.0</v>
      </c>
      <c r="D109" s="272">
        <v>3246061.0</v>
      </c>
      <c r="E109" s="272">
        <v>4046748.0</v>
      </c>
      <c r="F109" s="252">
        <f t="shared" si="154"/>
        <v>74518</v>
      </c>
      <c r="G109" s="253">
        <f t="shared" si="155"/>
        <v>1.039443792</v>
      </c>
      <c r="H109" s="254">
        <f t="shared" si="156"/>
        <v>0.03944379162</v>
      </c>
      <c r="I109" s="252">
        <f t="shared" si="157"/>
        <v>1356841</v>
      </c>
      <c r="J109" s="253">
        <f t="shared" si="158"/>
        <v>1.718201692</v>
      </c>
      <c r="K109" s="254">
        <f t="shared" si="159"/>
        <v>0.7182016917</v>
      </c>
      <c r="L109" s="252">
        <f t="shared" si="160"/>
        <v>2157528</v>
      </c>
      <c r="M109" s="253">
        <f t="shared" si="161"/>
        <v>2.142020516</v>
      </c>
      <c r="N109" s="254">
        <f t="shared" si="162"/>
        <v>1.142020516</v>
      </c>
    </row>
  </sheetData>
  <mergeCells count="40">
    <mergeCell ref="A1:E2"/>
    <mergeCell ref="A3:E3"/>
    <mergeCell ref="A37:E38"/>
    <mergeCell ref="A39:E39"/>
    <mergeCell ref="A70:E71"/>
    <mergeCell ref="A72:E72"/>
    <mergeCell ref="F4:H6"/>
    <mergeCell ref="I4:K6"/>
    <mergeCell ref="L4:N6"/>
    <mergeCell ref="F37:N37"/>
    <mergeCell ref="F38:F39"/>
    <mergeCell ref="I38:I39"/>
    <mergeCell ref="M38:N38"/>
    <mergeCell ref="G71:H71"/>
    <mergeCell ref="J71:K71"/>
    <mergeCell ref="F73:H75"/>
    <mergeCell ref="I73:K75"/>
    <mergeCell ref="L71:L72"/>
    <mergeCell ref="M71:N71"/>
    <mergeCell ref="L73:N75"/>
    <mergeCell ref="J38:K38"/>
    <mergeCell ref="L38:L39"/>
    <mergeCell ref="F70:N70"/>
    <mergeCell ref="F71:F72"/>
    <mergeCell ref="I71:I72"/>
    <mergeCell ref="L40:N42"/>
    <mergeCell ref="I40:K42"/>
    <mergeCell ref="F40:H42"/>
    <mergeCell ref="G38:H38"/>
    <mergeCell ref="F1:N1"/>
    <mergeCell ref="F2:F3"/>
    <mergeCell ref="G2:H2"/>
    <mergeCell ref="I2:I3"/>
    <mergeCell ref="J2:K2"/>
    <mergeCell ref="L2:L3"/>
    <mergeCell ref="M2:N2"/>
    <mergeCell ref="O4:O6"/>
    <mergeCell ref="P4:P6"/>
    <mergeCell ref="Q4:Q6"/>
    <mergeCell ref="U25:Y25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1.5"/>
    <col customWidth="1" min="3" max="3" width="19.13"/>
    <col customWidth="1" min="4" max="4" width="41.5"/>
    <col customWidth="1" min="5" max="5" width="38.38"/>
    <col customWidth="1" min="6" max="6" width="39.0"/>
    <col customWidth="1" min="7" max="7" width="36.63"/>
    <col customWidth="1" min="8" max="8" width="35.75"/>
    <col customWidth="1" min="14" max="14" width="12.5"/>
  </cols>
  <sheetData>
    <row r="1">
      <c r="A1" s="57"/>
      <c r="B1" s="59"/>
      <c r="C1" s="59"/>
      <c r="D1" s="59"/>
      <c r="E1" s="59"/>
    </row>
    <row r="2">
      <c r="A2" s="57"/>
      <c r="B2" s="276"/>
      <c r="C2" s="276"/>
      <c r="D2" s="276"/>
      <c r="E2" s="276"/>
    </row>
    <row r="3">
      <c r="A3" s="57"/>
      <c r="B3" s="59"/>
      <c r="C3" s="59"/>
      <c r="D3" s="59"/>
      <c r="E3" s="59"/>
    </row>
    <row r="4">
      <c r="A4" s="57"/>
      <c r="B4" s="277"/>
      <c r="C4" s="277"/>
      <c r="D4" s="277"/>
      <c r="E4" s="277"/>
    </row>
    <row r="5">
      <c r="A5" s="57"/>
      <c r="B5" s="278"/>
      <c r="C5" s="279"/>
      <c r="D5" s="280"/>
      <c r="E5" s="124"/>
    </row>
    <row r="6">
      <c r="A6" s="57"/>
      <c r="B6" s="281"/>
      <c r="C6" s="281"/>
      <c r="D6" s="281"/>
      <c r="E6" s="91"/>
    </row>
    <row r="7">
      <c r="A7" s="282" t="s">
        <v>13</v>
      </c>
      <c r="E7" s="283"/>
    </row>
    <row r="8">
      <c r="B8" s="284" t="s">
        <v>267</v>
      </c>
      <c r="C8" s="285" t="s">
        <v>291</v>
      </c>
      <c r="D8" s="286" t="s">
        <v>269</v>
      </c>
      <c r="E8" s="7"/>
    </row>
    <row r="9">
      <c r="A9" s="81" t="s">
        <v>4</v>
      </c>
      <c r="B9" s="42">
        <v>302182.0</v>
      </c>
      <c r="C9" s="287">
        <v>56037.0</v>
      </c>
      <c r="D9" s="288">
        <v>498316.0</v>
      </c>
      <c r="E9" s="7"/>
    </row>
    <row r="10">
      <c r="A10" s="81" t="s">
        <v>5</v>
      </c>
      <c r="B10" s="42">
        <v>491733.0</v>
      </c>
      <c r="C10" s="287">
        <v>76752.0</v>
      </c>
      <c r="D10" s="288">
        <v>790764.0</v>
      </c>
    </row>
    <row r="11">
      <c r="A11" s="81" t="s">
        <v>6</v>
      </c>
      <c r="B11" s="42">
        <v>612194.0</v>
      </c>
      <c r="C11" s="287">
        <v>99655.0</v>
      </c>
      <c r="D11" s="288">
        <v>1905722.0</v>
      </c>
    </row>
    <row r="12">
      <c r="A12" s="81" t="s">
        <v>7</v>
      </c>
      <c r="B12" s="42">
        <v>856785.0</v>
      </c>
      <c r="C12" s="287">
        <v>113344.0</v>
      </c>
      <c r="D12" s="288">
        <v>2312238.0</v>
      </c>
    </row>
    <row r="16">
      <c r="D16" s="289"/>
    </row>
    <row r="25">
      <c r="O25" s="81" t="s">
        <v>292</v>
      </c>
    </row>
    <row r="26">
      <c r="A26" s="290" t="s">
        <v>293</v>
      </c>
    </row>
    <row r="27">
      <c r="B27" s="284" t="s">
        <v>267</v>
      </c>
      <c r="C27" s="285" t="s">
        <v>291</v>
      </c>
      <c r="D27" s="286" t="s">
        <v>269</v>
      </c>
    </row>
    <row r="28">
      <c r="A28" s="81" t="s">
        <v>5</v>
      </c>
      <c r="B28" s="291">
        <f t="shared" ref="B28:D28" si="1">(B10-B9)*100/B9</f>
        <v>62.72742917</v>
      </c>
      <c r="C28" s="291">
        <f t="shared" si="1"/>
        <v>36.96664704</v>
      </c>
      <c r="D28" s="291">
        <f t="shared" si="1"/>
        <v>58.68725869</v>
      </c>
    </row>
    <row r="29">
      <c r="A29" s="81" t="s">
        <v>6</v>
      </c>
      <c r="B29" s="291">
        <f t="shared" ref="B29:D29" si="2">(B11-B10)*100/B10</f>
        <v>24.49723732</v>
      </c>
      <c r="C29" s="291">
        <f t="shared" si="2"/>
        <v>29.84026475</v>
      </c>
      <c r="D29" s="291">
        <f t="shared" si="2"/>
        <v>140.9975669</v>
      </c>
    </row>
    <row r="30">
      <c r="A30" s="81" t="s">
        <v>7</v>
      </c>
      <c r="B30" s="291">
        <f t="shared" ref="B30:D30" si="3">(B12-B11)*100/B11</f>
        <v>39.95318477</v>
      </c>
      <c r="C30" s="291">
        <f t="shared" si="3"/>
        <v>13.73639055</v>
      </c>
      <c r="D30" s="291">
        <f t="shared" si="3"/>
        <v>21.33133794</v>
      </c>
    </row>
    <row r="40">
      <c r="N40" s="292"/>
    </row>
    <row r="41">
      <c r="N41" s="292"/>
    </row>
    <row r="42">
      <c r="N42" s="293" t="s">
        <v>294</v>
      </c>
      <c r="V42" s="282" t="s">
        <v>235</v>
      </c>
    </row>
    <row r="43">
      <c r="A43" s="282" t="s">
        <v>295</v>
      </c>
      <c r="O43" s="294" t="s">
        <v>267</v>
      </c>
      <c r="Q43" s="295" t="s">
        <v>291</v>
      </c>
      <c r="S43" s="296" t="s">
        <v>269</v>
      </c>
      <c r="V43" s="18"/>
      <c r="W43" s="297" t="s">
        <v>267</v>
      </c>
      <c r="X43" s="298" t="s">
        <v>291</v>
      </c>
      <c r="Y43" s="299" t="s">
        <v>269</v>
      </c>
    </row>
    <row r="44">
      <c r="A44" s="18"/>
      <c r="B44" s="297" t="s">
        <v>267</v>
      </c>
      <c r="C44" s="298" t="s">
        <v>291</v>
      </c>
      <c r="D44" s="299" t="s">
        <v>269</v>
      </c>
      <c r="M44" s="18"/>
      <c r="N44" s="18" t="s">
        <v>4</v>
      </c>
      <c r="O44" s="103">
        <f>'Аэрофлот'!B39+'Аэрофлот'!B44</f>
        <v>88635</v>
      </c>
      <c r="Q44" s="103">
        <f>'Ютэер'!B59+'Ютэер'!B47</f>
        <v>61496</v>
      </c>
      <c r="S44" s="103">
        <f>TurkishAirlines!B60+TurkishAirlines!B72+TurkishAirlines!B73</f>
        <v>399156</v>
      </c>
      <c r="V44" s="18" t="s">
        <v>4</v>
      </c>
      <c r="W44" s="50">
        <v>-115346.0</v>
      </c>
      <c r="X44" s="5">
        <v>-4925.0</v>
      </c>
      <c r="Y44" s="93">
        <v>398342.0</v>
      </c>
    </row>
    <row r="45">
      <c r="A45" s="18" t="s">
        <v>4</v>
      </c>
      <c r="B45" s="41">
        <v>1016204.0</v>
      </c>
      <c r="C45" s="5">
        <v>86106.0</v>
      </c>
      <c r="D45" s="93">
        <v>1889220.0</v>
      </c>
      <c r="M45" s="18"/>
      <c r="N45" s="18" t="s">
        <v>5</v>
      </c>
      <c r="O45" s="103">
        <f>'Аэрофлот'!C39+'Аэрофлот'!C44</f>
        <v>132268</v>
      </c>
      <c r="Q45" s="103">
        <f>'Ютэер'!C59+'Ютэер'!C47</f>
        <v>25152</v>
      </c>
      <c r="S45" s="103">
        <f>TurkishAirlines!C60+TurkishAirlines!C72+TurkishAirlines!C73</f>
        <v>344766</v>
      </c>
      <c r="V45" s="18" t="s">
        <v>5</v>
      </c>
      <c r="W45" s="14">
        <v>-146438.0</v>
      </c>
      <c r="X45" s="5">
        <v>10801.0</v>
      </c>
      <c r="Y45" s="93">
        <v>505938.0</v>
      </c>
    </row>
    <row r="46">
      <c r="A46" s="18" t="s">
        <v>5</v>
      </c>
      <c r="B46" s="46">
        <v>1109450.0</v>
      </c>
      <c r="C46" s="5">
        <v>95458.0</v>
      </c>
      <c r="D46" s="93">
        <v>1963738.0</v>
      </c>
      <c r="M46" s="18"/>
      <c r="N46" s="18" t="s">
        <v>6</v>
      </c>
      <c r="O46" s="103">
        <f>'Аэрофлот'!D39+'Аэрофлот'!D44</f>
        <v>104368</v>
      </c>
      <c r="Q46" s="103">
        <f>'Ютэер'!D59+'Ютэер'!D47</f>
        <v>30744</v>
      </c>
      <c r="S46" s="103">
        <f>TurkishAirlines!D60+TurkishAirlines!D72+TurkishAirlines!D73</f>
        <v>221585</v>
      </c>
      <c r="V46" s="18" t="s">
        <v>6</v>
      </c>
      <c r="W46" s="14">
        <v>-98754.0</v>
      </c>
      <c r="X46" s="5">
        <v>23067.0</v>
      </c>
      <c r="Y46" s="93">
        <v>1416233.0</v>
      </c>
    </row>
    <row r="47">
      <c r="A47" s="18" t="s">
        <v>6</v>
      </c>
      <c r="B47" s="29">
        <v>1114014.0</v>
      </c>
      <c r="C47" s="158">
        <v>123163.0</v>
      </c>
      <c r="D47" s="93">
        <v>3246061.0</v>
      </c>
      <c r="M47" s="18"/>
      <c r="N47" s="18" t="s">
        <v>7</v>
      </c>
      <c r="O47" s="103">
        <f>'Аэрофлот'!E39+'Аэрофлот'!E44</f>
        <v>60468</v>
      </c>
      <c r="Q47" s="103">
        <f>'Ютэер'!E59+'Ютэер'!E47</f>
        <v>31109</v>
      </c>
      <c r="S47" s="103">
        <f>TurkishAirlines!E60+TurkishAirlines!E72+TurkishAirlines!E73</f>
        <v>193290</v>
      </c>
      <c r="V47" s="18" t="s">
        <v>7</v>
      </c>
      <c r="W47" s="14">
        <v>-72497.0</v>
      </c>
      <c r="X47" s="148">
        <v>14445.0</v>
      </c>
      <c r="Y47" s="93">
        <v>1970028.0</v>
      </c>
    </row>
    <row r="48">
      <c r="A48" s="18" t="s">
        <v>7</v>
      </c>
      <c r="B48" s="42">
        <v>1156896.0</v>
      </c>
      <c r="C48" s="148">
        <v>130350.0</v>
      </c>
      <c r="D48" s="93">
        <v>4046748.0</v>
      </c>
      <c r="W48" s="7"/>
    </row>
    <row r="49">
      <c r="W49" s="7"/>
    </row>
    <row r="50">
      <c r="V50" s="57"/>
      <c r="W50" s="7"/>
      <c r="X50" s="57"/>
      <c r="Y50" s="57"/>
    </row>
    <row r="51">
      <c r="I51" s="93"/>
      <c r="J51" s="93"/>
      <c r="K51" s="93"/>
      <c r="L51" s="93"/>
      <c r="V51" s="60"/>
      <c r="W51" s="60"/>
      <c r="X51" s="60"/>
      <c r="Y51" s="300"/>
    </row>
    <row r="52">
      <c r="A52" s="301" t="s">
        <v>296</v>
      </c>
      <c r="V52" s="302"/>
      <c r="W52" s="302"/>
      <c r="X52" s="302"/>
      <c r="Y52" s="302"/>
    </row>
    <row r="53">
      <c r="A53" s="18"/>
      <c r="B53" s="297" t="s">
        <v>267</v>
      </c>
      <c r="C53" s="298" t="s">
        <v>291</v>
      </c>
      <c r="D53" s="299" t="s">
        <v>269</v>
      </c>
      <c r="G53" s="57"/>
      <c r="H53" s="57"/>
      <c r="I53" s="57"/>
      <c r="J53" s="57"/>
      <c r="K53" s="57"/>
      <c r="L53" s="57"/>
      <c r="V53" s="57"/>
      <c r="W53" s="57"/>
      <c r="X53" s="57"/>
      <c r="Y53" s="57"/>
    </row>
    <row r="54">
      <c r="A54" s="18" t="s">
        <v>5</v>
      </c>
      <c r="B54" s="303">
        <f t="shared" ref="B54:D54" si="4">(B46-B45)*100/B45</f>
        <v>9.175913498</v>
      </c>
      <c r="C54" s="303">
        <f t="shared" si="4"/>
        <v>10.86103175</v>
      </c>
      <c r="D54" s="303">
        <f t="shared" si="4"/>
        <v>3.944379162</v>
      </c>
      <c r="G54" s="57"/>
      <c r="H54" s="57"/>
      <c r="I54" s="57"/>
      <c r="J54" s="57"/>
      <c r="K54" s="57"/>
      <c r="L54" s="57"/>
      <c r="V54" s="57"/>
      <c r="W54" s="57"/>
      <c r="X54" s="57"/>
      <c r="Y54" s="57"/>
    </row>
    <row r="55">
      <c r="A55" s="18" t="s">
        <v>6</v>
      </c>
      <c r="B55" s="303">
        <f t="shared" ref="B55:D55" si="5">(B47-B46)*100/B46</f>
        <v>0.4113750056</v>
      </c>
      <c r="C55" s="303">
        <f t="shared" si="5"/>
        <v>29.02323535</v>
      </c>
      <c r="D55" s="303">
        <f t="shared" si="5"/>
        <v>65.30010623</v>
      </c>
      <c r="G55" s="57"/>
      <c r="H55" s="57"/>
      <c r="I55" s="57"/>
      <c r="J55" s="57"/>
      <c r="K55" s="57"/>
      <c r="L55" s="57"/>
      <c r="V55" s="65"/>
      <c r="W55" s="63"/>
      <c r="X55" s="63"/>
      <c r="Y55" s="63"/>
    </row>
    <row r="56">
      <c r="A56" s="18" t="s">
        <v>7</v>
      </c>
      <c r="B56" s="303">
        <f t="shared" ref="B56:D56" si="6">(B48-B47)*100/B47</f>
        <v>3.849323258</v>
      </c>
      <c r="C56" s="303">
        <f t="shared" si="6"/>
        <v>5.835356398</v>
      </c>
      <c r="D56" s="303">
        <f t="shared" si="6"/>
        <v>24.66641878</v>
      </c>
      <c r="G56" s="57"/>
      <c r="H56" s="60"/>
      <c r="I56" s="60"/>
      <c r="J56" s="304"/>
      <c r="K56" s="300"/>
      <c r="L56" s="57"/>
      <c r="V56" s="57"/>
      <c r="W56" s="57"/>
      <c r="X56" s="57"/>
      <c r="Y56" s="57"/>
    </row>
    <row r="57">
      <c r="G57" s="57"/>
      <c r="H57" s="57"/>
      <c r="I57" s="57"/>
      <c r="J57" s="57"/>
      <c r="K57" s="57"/>
      <c r="L57" s="57"/>
      <c r="V57" s="57"/>
      <c r="W57" s="57"/>
      <c r="X57" s="57"/>
      <c r="Y57" s="57"/>
    </row>
    <row r="58">
      <c r="C58" s="41"/>
      <c r="D58" s="46"/>
      <c r="E58" s="29"/>
      <c r="F58" s="42"/>
      <c r="G58" s="57"/>
      <c r="H58" s="57"/>
      <c r="I58" s="57"/>
      <c r="J58" s="57"/>
      <c r="K58" s="57"/>
      <c r="L58" s="57"/>
      <c r="V58" s="57"/>
      <c r="W58" s="57"/>
      <c r="X58" s="57"/>
      <c r="Y58" s="57"/>
    </row>
    <row r="59">
      <c r="G59" s="57"/>
      <c r="H59" s="57"/>
      <c r="I59" s="57"/>
      <c r="J59" s="57"/>
      <c r="K59" s="57"/>
      <c r="L59" s="57"/>
      <c r="V59" s="57"/>
      <c r="W59" s="57"/>
      <c r="X59" s="57"/>
      <c r="Y59" s="57"/>
    </row>
    <row r="60">
      <c r="A60" s="57"/>
      <c r="B60" s="57"/>
      <c r="C60" s="57"/>
      <c r="D60" s="57"/>
      <c r="G60" s="57"/>
      <c r="H60" s="57"/>
      <c r="I60" s="57"/>
      <c r="J60" s="57"/>
      <c r="K60" s="57"/>
      <c r="L60" s="57"/>
      <c r="V60" s="57"/>
      <c r="W60" s="57"/>
      <c r="X60" s="57"/>
      <c r="Y60" s="57"/>
    </row>
    <row r="61">
      <c r="A61" s="276"/>
    </row>
    <row r="62">
      <c r="A62" s="59"/>
      <c r="B62" s="59"/>
      <c r="C62" s="59"/>
      <c r="D62" s="59"/>
    </row>
    <row r="63">
      <c r="A63" s="59"/>
      <c r="B63" s="65"/>
      <c r="C63" s="60"/>
      <c r="D63" s="302"/>
    </row>
    <row r="64">
      <c r="A64" s="18"/>
      <c r="B64" s="46"/>
      <c r="C64" s="5"/>
      <c r="D64" s="93"/>
    </row>
    <row r="65">
      <c r="A65" s="301" t="s">
        <v>297</v>
      </c>
    </row>
    <row r="66">
      <c r="A66" s="18"/>
      <c r="B66" s="297" t="s">
        <v>267</v>
      </c>
      <c r="C66" s="305" t="s">
        <v>291</v>
      </c>
      <c r="D66" s="306" t="s">
        <v>269</v>
      </c>
    </row>
    <row r="67">
      <c r="A67" s="18" t="s">
        <v>4</v>
      </c>
      <c r="B67" s="307">
        <v>-123208.0</v>
      </c>
      <c r="C67" s="308">
        <v>3130.0</v>
      </c>
      <c r="D67" s="288">
        <v>-61864.0</v>
      </c>
    </row>
    <row r="68">
      <c r="A68" s="18" t="s">
        <v>5</v>
      </c>
      <c r="B68" s="307">
        <v>-34460.0</v>
      </c>
      <c r="C68" s="308">
        <v>26825.0</v>
      </c>
      <c r="D68" s="288">
        <v>70966.0</v>
      </c>
    </row>
    <row r="69">
      <c r="A69" s="18" t="s">
        <v>6</v>
      </c>
      <c r="B69" s="307">
        <v>-14021.0</v>
      </c>
      <c r="C69" s="308">
        <v>2786.0</v>
      </c>
      <c r="D69" s="288">
        <v>547911.0</v>
      </c>
      <c r="G69" s="38"/>
      <c r="H69" s="38"/>
      <c r="I69" s="39"/>
      <c r="J69" s="38"/>
    </row>
    <row r="70">
      <c r="A70" s="18" t="s">
        <v>7</v>
      </c>
      <c r="B70" s="307">
        <v>55020.0</v>
      </c>
      <c r="C70" s="308">
        <v>-7015.0</v>
      </c>
      <c r="D70" s="288">
        <v>349350.0</v>
      </c>
      <c r="G70" s="309"/>
      <c r="H70" s="310"/>
      <c r="I70" s="310"/>
      <c r="J70" s="310"/>
    </row>
    <row r="71">
      <c r="G71" s="98"/>
      <c r="H71" s="98"/>
      <c r="I71" s="98"/>
      <c r="J71" s="98"/>
    </row>
    <row r="72">
      <c r="A72" s="282" t="s">
        <v>298</v>
      </c>
    </row>
    <row r="73">
      <c r="A73" s="18"/>
      <c r="B73" s="297" t="s">
        <v>267</v>
      </c>
      <c r="C73" s="298" t="s">
        <v>291</v>
      </c>
      <c r="D73" s="299" t="s">
        <v>269</v>
      </c>
    </row>
    <row r="74">
      <c r="A74" s="18" t="s">
        <v>5</v>
      </c>
      <c r="B74" s="303">
        <f t="shared" ref="B74:B76" si="7">(B68-B67)*100/abs(B67)</f>
        <v>72.03103695</v>
      </c>
      <c r="C74" s="303">
        <f t="shared" ref="C74:C76" si="8">(C68-C67)*100/C67</f>
        <v>757.028754</v>
      </c>
      <c r="D74" s="303">
        <f>(D68-D67)*100/abs(D67)</f>
        <v>214.7129187</v>
      </c>
    </row>
    <row r="75">
      <c r="A75" s="18" t="s">
        <v>6</v>
      </c>
      <c r="B75" s="303">
        <f t="shared" si="7"/>
        <v>59.31224608</v>
      </c>
      <c r="C75" s="303">
        <f t="shared" si="8"/>
        <v>-89.61416589</v>
      </c>
      <c r="D75" s="303">
        <f t="shared" ref="D75:D76" si="9">(D69-D68)*100/D68</f>
        <v>672.07536</v>
      </c>
    </row>
    <row r="76">
      <c r="A76" s="18" t="s">
        <v>7</v>
      </c>
      <c r="B76" s="303">
        <f t="shared" si="7"/>
        <v>492.4113829</v>
      </c>
      <c r="C76" s="303">
        <f t="shared" si="8"/>
        <v>-351.7946877</v>
      </c>
      <c r="D76" s="303">
        <f t="shared" si="9"/>
        <v>-36.23964476</v>
      </c>
    </row>
    <row r="84">
      <c r="A84" s="311"/>
      <c r="B84" s="311"/>
      <c r="C84" s="311"/>
      <c r="D84" s="311"/>
      <c r="E84" s="311"/>
      <c r="F84" s="311"/>
      <c r="G84" s="311"/>
      <c r="H84" s="311"/>
      <c r="I84" s="311"/>
      <c r="J84" s="311"/>
      <c r="K84" s="311"/>
    </row>
    <row r="85">
      <c r="A85" s="311"/>
      <c r="B85" s="311"/>
      <c r="C85" s="311"/>
      <c r="D85" s="311"/>
      <c r="E85" s="311"/>
      <c r="F85" s="311"/>
      <c r="G85" s="311"/>
      <c r="H85" s="311"/>
      <c r="I85" s="311"/>
      <c r="J85" s="311"/>
      <c r="K85" s="311"/>
    </row>
    <row r="86">
      <c r="A86" s="311"/>
      <c r="B86" s="311"/>
      <c r="C86" s="311"/>
      <c r="D86" s="311"/>
      <c r="E86" s="311"/>
      <c r="F86" s="311"/>
      <c r="G86" s="311"/>
      <c r="H86" s="311"/>
      <c r="I86" s="311"/>
      <c r="J86" s="311"/>
      <c r="K86" s="311"/>
    </row>
    <row r="87">
      <c r="A87" s="311"/>
      <c r="B87" s="311"/>
      <c r="C87" s="311"/>
      <c r="D87" s="311"/>
      <c r="E87" s="311"/>
      <c r="F87" s="311"/>
      <c r="G87" s="311"/>
      <c r="H87" s="311"/>
      <c r="I87" s="311"/>
      <c r="J87" s="311"/>
      <c r="K87" s="311"/>
    </row>
    <row r="88">
      <c r="A88" s="311"/>
      <c r="B88" s="311"/>
      <c r="C88" s="311"/>
      <c r="D88" s="311"/>
      <c r="E88" s="311"/>
      <c r="F88" s="311"/>
      <c r="G88" s="311"/>
      <c r="H88" s="311"/>
      <c r="I88" s="311"/>
      <c r="J88" s="311"/>
      <c r="K88" s="311"/>
    </row>
    <row r="92">
      <c r="A92" s="312" t="s">
        <v>299</v>
      </c>
    </row>
    <row r="95">
      <c r="A95" s="313" t="s">
        <v>12</v>
      </c>
    </row>
    <row r="96">
      <c r="A96" s="81" t="s">
        <v>300</v>
      </c>
      <c r="B96" s="81" t="s">
        <v>267</v>
      </c>
      <c r="C96" s="81" t="s">
        <v>301</v>
      </c>
      <c r="D96" s="81" t="s">
        <v>269</v>
      </c>
      <c r="E96" s="81" t="s">
        <v>302</v>
      </c>
    </row>
    <row r="97">
      <c r="A97" s="81" t="s">
        <v>303</v>
      </c>
      <c r="B97" s="9">
        <v>88944.0</v>
      </c>
      <c r="C97" s="5">
        <v>12679.0</v>
      </c>
      <c r="D97" s="93">
        <v>134014.0</v>
      </c>
      <c r="E97" s="81">
        <v>145171.0</v>
      </c>
    </row>
    <row r="98">
      <c r="A98" s="81" t="s">
        <v>286</v>
      </c>
      <c r="B98" s="9">
        <v>74180.0</v>
      </c>
      <c r="C98" s="5">
        <v>7569.0</v>
      </c>
      <c r="D98" s="93">
        <v>198098.0</v>
      </c>
      <c r="E98" s="81">
        <v>161576.0</v>
      </c>
    </row>
    <row r="99">
      <c r="A99" s="81" t="s">
        <v>287</v>
      </c>
      <c r="B99" s="14">
        <v>83117.0</v>
      </c>
      <c r="C99" s="158">
        <v>5537.0</v>
      </c>
      <c r="D99" s="93">
        <v>62153.0</v>
      </c>
      <c r="E99" s="81" t="s">
        <v>35</v>
      </c>
    </row>
    <row r="100">
      <c r="A100" s="81" t="s">
        <v>288</v>
      </c>
      <c r="B100" s="9">
        <v>67814.0</v>
      </c>
      <c r="C100" s="148">
        <v>5337.0</v>
      </c>
      <c r="D100" s="93">
        <v>277542.0</v>
      </c>
      <c r="E100" s="81" t="s">
        <v>35</v>
      </c>
    </row>
    <row r="102">
      <c r="A102" s="314" t="s">
        <v>304</v>
      </c>
    </row>
    <row r="103">
      <c r="A103" s="81"/>
      <c r="B103" s="81" t="s">
        <v>72</v>
      </c>
      <c r="C103" s="81" t="s">
        <v>73</v>
      </c>
      <c r="D103" s="260" t="s">
        <v>285</v>
      </c>
      <c r="E103" s="260" t="s">
        <v>79</v>
      </c>
    </row>
    <row r="104">
      <c r="A104" s="81" t="s">
        <v>303</v>
      </c>
      <c r="B104" s="31">
        <v>2693.0</v>
      </c>
      <c r="C104" s="50">
        <v>78701.0</v>
      </c>
      <c r="D104" s="42">
        <v>-107776.0</v>
      </c>
      <c r="E104" s="50">
        <v>-7570.0</v>
      </c>
    </row>
    <row r="105">
      <c r="A105" s="81" t="s">
        <v>286</v>
      </c>
      <c r="B105" s="31">
        <v>2693.0</v>
      </c>
      <c r="C105" s="49">
        <v>78701.0</v>
      </c>
      <c r="D105" s="42">
        <v>-138501.0</v>
      </c>
      <c r="E105" s="50">
        <v>-7937.0</v>
      </c>
    </row>
    <row r="106">
      <c r="A106" s="81" t="s">
        <v>287</v>
      </c>
      <c r="B106" s="29">
        <v>4224.0</v>
      </c>
      <c r="C106" s="14">
        <v>144402.0</v>
      </c>
      <c r="D106" s="29">
        <v>-85543.0</v>
      </c>
      <c r="E106" s="29">
        <v>-13211.0</v>
      </c>
    </row>
    <row r="107">
      <c r="A107" s="81" t="s">
        <v>288</v>
      </c>
      <c r="B107" s="31">
        <v>4224.0</v>
      </c>
      <c r="C107" s="50">
        <v>143482.0</v>
      </c>
      <c r="D107" s="307">
        <v>-55712.0</v>
      </c>
      <c r="E107" s="35">
        <v>-16785.0</v>
      </c>
    </row>
    <row r="109">
      <c r="A109" s="168" t="s">
        <v>305</v>
      </c>
    </row>
    <row r="110">
      <c r="A110" s="81" t="s">
        <v>284</v>
      </c>
      <c r="B110" s="5" t="s">
        <v>62</v>
      </c>
      <c r="C110" s="5" t="s">
        <v>63</v>
      </c>
      <c r="D110" s="5" t="s">
        <v>66</v>
      </c>
      <c r="E110" s="5" t="s">
        <v>68</v>
      </c>
      <c r="F110" s="33" t="s">
        <v>64</v>
      </c>
      <c r="G110" s="33" t="s">
        <v>69</v>
      </c>
    </row>
    <row r="111">
      <c r="A111" s="81" t="s">
        <v>303</v>
      </c>
      <c r="B111" s="30">
        <v>34924.0</v>
      </c>
      <c r="C111" s="31">
        <v>4.0</v>
      </c>
      <c r="D111" s="30">
        <v>53711.0</v>
      </c>
      <c r="E111" s="31">
        <v>20666.0</v>
      </c>
      <c r="F111" s="30">
        <v>281285.0</v>
      </c>
      <c r="G111" s="30">
        <v>850265.0</v>
      </c>
    </row>
    <row r="112">
      <c r="A112" s="81" t="s">
        <v>286</v>
      </c>
      <c r="B112" s="31">
        <v>17500.0</v>
      </c>
      <c r="C112" s="30">
        <v>141.0</v>
      </c>
      <c r="D112" s="30">
        <v>114768.0</v>
      </c>
      <c r="E112" s="35">
        <v>15552.0</v>
      </c>
      <c r="F112" s="31">
        <v>272588.0</v>
      </c>
      <c r="G112" s="30">
        <v>983300.0</v>
      </c>
    </row>
    <row r="113">
      <c r="A113" s="81" t="s">
        <v>287</v>
      </c>
      <c r="B113" s="29">
        <v>44178.0</v>
      </c>
      <c r="C113" s="32">
        <v>905.0</v>
      </c>
      <c r="D113" s="29">
        <v>60190.0</v>
      </c>
      <c r="E113" s="29">
        <v>9913.0</v>
      </c>
      <c r="F113" s="29">
        <v>339604.0</v>
      </c>
      <c r="G113" s="29">
        <v>873164.0</v>
      </c>
    </row>
    <row r="114">
      <c r="A114" s="81" t="s">
        <v>288</v>
      </c>
      <c r="B114" s="31">
        <v>19746.0</v>
      </c>
      <c r="C114" s="30">
        <v>754.0</v>
      </c>
      <c r="D114" s="41">
        <v>40722.0</v>
      </c>
      <c r="E114" s="31">
        <v>4982.0</v>
      </c>
      <c r="F114" s="31">
        <v>409065.0</v>
      </c>
      <c r="G114" s="30">
        <v>820328.0</v>
      </c>
    </row>
  </sheetData>
  <mergeCells count="28">
    <mergeCell ref="Q46:R46"/>
    <mergeCell ref="Q47:R47"/>
    <mergeCell ref="S46:T46"/>
    <mergeCell ref="S47:T47"/>
    <mergeCell ref="S45:T45"/>
    <mergeCell ref="S43:T43"/>
    <mergeCell ref="S44:T44"/>
    <mergeCell ref="V42:Y42"/>
    <mergeCell ref="O45:P45"/>
    <mergeCell ref="O47:P47"/>
    <mergeCell ref="O46:P46"/>
    <mergeCell ref="N42:T42"/>
    <mergeCell ref="O43:P43"/>
    <mergeCell ref="Q43:R43"/>
    <mergeCell ref="O44:P44"/>
    <mergeCell ref="Q45:R45"/>
    <mergeCell ref="Q44:R44"/>
    <mergeCell ref="A92:G94"/>
    <mergeCell ref="A95:E95"/>
    <mergeCell ref="A102:E102"/>
    <mergeCell ref="A109:G109"/>
    <mergeCell ref="A7:D7"/>
    <mergeCell ref="A26:D26"/>
    <mergeCell ref="A43:D43"/>
    <mergeCell ref="A52:D52"/>
    <mergeCell ref="A61:D61"/>
    <mergeCell ref="A65:D65"/>
    <mergeCell ref="A72:D72"/>
  </mergeCells>
  <drawing r:id="rId1"/>
  <tableParts count="5">
    <tablePart r:id="rId7"/>
    <tablePart r:id="rId8"/>
    <tablePart r:id="rId9"/>
    <tablePart r:id="rId10"/>
    <tablePart r:id="rId11"/>
  </tableParts>
</worksheet>
</file>